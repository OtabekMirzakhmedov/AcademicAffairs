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rukh Sulaymonov\Documents\"/>
    </mc:Choice>
  </mc:AlternateContent>
  <xr:revisionPtr revIDLastSave="0" documentId="8_{8AF63E07-4C0A-4841-82C7-A9027CCCA83C}" xr6:coauthVersionLast="47" xr6:coauthVersionMax="47" xr10:uidLastSave="{00000000-0000-0000-0000-000000000000}"/>
  <bookViews>
    <workbookView xWindow="-120" yWindow="-120" windowWidth="29040" windowHeight="15720" xr2:uid="{9B08C280-A91C-4F71-96FE-38E48CF73BC9}"/>
  </bookViews>
  <sheets>
    <sheet name="BAN" sheetId="1" r:id="rId1"/>
  </sheets>
  <externalReferences>
    <externalReference r:id="rId2"/>
  </externalReferences>
  <definedNames>
    <definedName name="_xlnm._FilterDatabase" localSheetId="0" hidden="1">BAN!$A$9:$L$112</definedName>
    <definedName name="_xlnm.Print_Titles" localSheetId="0">BAN!$5:$6</definedName>
    <definedName name="_xlnm.Print_Area" localSheetId="0">BAN!$A$1:$J$120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9" i="1" l="1"/>
  <c r="D109" i="1"/>
  <c r="F108" i="1"/>
  <c r="A108" i="1"/>
  <c r="I107" i="1"/>
  <c r="J107" i="1" s="1"/>
  <c r="F107" i="1"/>
  <c r="F109" i="1" s="1"/>
  <c r="A107" i="1"/>
  <c r="E104" i="1"/>
  <c r="D104" i="1"/>
  <c r="F103" i="1"/>
  <c r="I103" i="1" s="1"/>
  <c r="J103" i="1" s="1"/>
  <c r="A103" i="1"/>
  <c r="F102" i="1"/>
  <c r="I102" i="1" s="1"/>
  <c r="A102" i="1"/>
  <c r="F100" i="1"/>
  <c r="G100" i="1" s="1"/>
  <c r="A100" i="1"/>
  <c r="J99" i="1"/>
  <c r="I99" i="1"/>
  <c r="F99" i="1"/>
  <c r="G99" i="1" s="1"/>
  <c r="H99" i="1" s="1"/>
  <c r="A99" i="1"/>
  <c r="F98" i="1"/>
  <c r="I98" i="1" s="1"/>
  <c r="J98" i="1" s="1"/>
  <c r="A98" i="1"/>
  <c r="J97" i="1"/>
  <c r="I97" i="1"/>
  <c r="G97" i="1"/>
  <c r="H97" i="1" s="1"/>
  <c r="F97" i="1"/>
  <c r="A97" i="1"/>
  <c r="F96" i="1"/>
  <c r="I96" i="1" s="1"/>
  <c r="J96" i="1" s="1"/>
  <c r="A96" i="1"/>
  <c r="F92" i="1"/>
  <c r="I92" i="1" s="1"/>
  <c r="J92" i="1" s="1"/>
  <c r="A92" i="1"/>
  <c r="E90" i="1"/>
  <c r="D90" i="1"/>
  <c r="F89" i="1"/>
  <c r="I89" i="1" s="1"/>
  <c r="J89" i="1" s="1"/>
  <c r="A89" i="1"/>
  <c r="J88" i="1"/>
  <c r="I88" i="1"/>
  <c r="G88" i="1"/>
  <c r="H88" i="1" s="1"/>
  <c r="F88" i="1"/>
  <c r="A88" i="1"/>
  <c r="F86" i="1"/>
  <c r="A86" i="1"/>
  <c r="I85" i="1"/>
  <c r="J85" i="1" s="1"/>
  <c r="H85" i="1"/>
  <c r="G85" i="1"/>
  <c r="F85" i="1"/>
  <c r="A85" i="1"/>
  <c r="F84" i="1"/>
  <c r="A84" i="1"/>
  <c r="F83" i="1"/>
  <c r="I83" i="1" s="1"/>
  <c r="J83" i="1" s="1"/>
  <c r="A83" i="1"/>
  <c r="F82" i="1"/>
  <c r="F90" i="1" s="1"/>
  <c r="A82" i="1"/>
  <c r="F79" i="1"/>
  <c r="E79" i="1"/>
  <c r="D79" i="1"/>
  <c r="F78" i="1"/>
  <c r="I78" i="1" s="1"/>
  <c r="J78" i="1" s="1"/>
  <c r="A78" i="1"/>
  <c r="F77" i="1"/>
  <c r="A77" i="1"/>
  <c r="I75" i="1"/>
  <c r="J75" i="1" s="1"/>
  <c r="F75" i="1"/>
  <c r="G75" i="1" s="1"/>
  <c r="H75" i="1" s="1"/>
  <c r="A75" i="1"/>
  <c r="F74" i="1"/>
  <c r="A74" i="1"/>
  <c r="I73" i="1"/>
  <c r="J73" i="1" s="1"/>
  <c r="G73" i="1"/>
  <c r="H73" i="1" s="1"/>
  <c r="F73" i="1"/>
  <c r="A73" i="1"/>
  <c r="F72" i="1"/>
  <c r="I72" i="1" s="1"/>
  <c r="J72" i="1" s="1"/>
  <c r="A72" i="1"/>
  <c r="F71" i="1"/>
  <c r="I71" i="1" s="1"/>
  <c r="J71" i="1" s="1"/>
  <c r="A71" i="1"/>
  <c r="F70" i="1"/>
  <c r="G70" i="1" s="1"/>
  <c r="A70" i="1"/>
  <c r="F66" i="1"/>
  <c r="E66" i="1"/>
  <c r="D66" i="1"/>
  <c r="J65" i="1"/>
  <c r="I65" i="1"/>
  <c r="G65" i="1"/>
  <c r="H65" i="1" s="1"/>
  <c r="F65" i="1"/>
  <c r="A65" i="1"/>
  <c r="F64" i="1"/>
  <c r="A64" i="1"/>
  <c r="I62" i="1"/>
  <c r="J62" i="1" s="1"/>
  <c r="H62" i="1"/>
  <c r="G62" i="1"/>
  <c r="F62" i="1"/>
  <c r="A62" i="1"/>
  <c r="F61" i="1"/>
  <c r="G61" i="1" s="1"/>
  <c r="A61" i="1"/>
  <c r="F60" i="1"/>
  <c r="A60" i="1"/>
  <c r="F59" i="1"/>
  <c r="A59" i="1"/>
  <c r="F58" i="1"/>
  <c r="I58" i="1" s="1"/>
  <c r="J58" i="1" s="1"/>
  <c r="A58" i="1"/>
  <c r="F57" i="1"/>
  <c r="I57" i="1" s="1"/>
  <c r="J57" i="1" s="1"/>
  <c r="A57" i="1"/>
  <c r="E54" i="1"/>
  <c r="D54" i="1"/>
  <c r="J53" i="1"/>
  <c r="I53" i="1"/>
  <c r="F53" i="1"/>
  <c r="G53" i="1" s="1"/>
  <c r="H53" i="1" s="1"/>
  <c r="A53" i="1"/>
  <c r="F52" i="1"/>
  <c r="A52" i="1"/>
  <c r="I50" i="1"/>
  <c r="J50" i="1" s="1"/>
  <c r="G50" i="1"/>
  <c r="H50" i="1" s="1"/>
  <c r="F50" i="1"/>
  <c r="A50" i="1"/>
  <c r="F49" i="1"/>
  <c r="I49" i="1" s="1"/>
  <c r="J49" i="1" s="1"/>
  <c r="A49" i="1"/>
  <c r="F48" i="1"/>
  <c r="I48" i="1" s="1"/>
  <c r="J48" i="1" s="1"/>
  <c r="A48" i="1"/>
  <c r="F47" i="1"/>
  <c r="I47" i="1" s="1"/>
  <c r="J47" i="1" s="1"/>
  <c r="A47" i="1"/>
  <c r="F46" i="1"/>
  <c r="I46" i="1" s="1"/>
  <c r="J46" i="1" s="1"/>
  <c r="A46" i="1"/>
  <c r="J45" i="1"/>
  <c r="I45" i="1"/>
  <c r="G45" i="1"/>
  <c r="H45" i="1" s="1"/>
  <c r="F45" i="1"/>
  <c r="A45" i="1"/>
  <c r="F41" i="1"/>
  <c r="E41" i="1"/>
  <c r="D41" i="1"/>
  <c r="I40" i="1"/>
  <c r="J40" i="1" s="1"/>
  <c r="H40" i="1"/>
  <c r="G40" i="1"/>
  <c r="F40" i="1"/>
  <c r="A40" i="1"/>
  <c r="F39" i="1"/>
  <c r="I39" i="1" s="1"/>
  <c r="J39" i="1" s="1"/>
  <c r="A39" i="1"/>
  <c r="F38" i="1"/>
  <c r="G38" i="1" s="1"/>
  <c r="A38" i="1"/>
  <c r="F37" i="1"/>
  <c r="A37" i="1"/>
  <c r="F36" i="1"/>
  <c r="I36" i="1" s="1"/>
  <c r="J36" i="1" s="1"/>
  <c r="A36" i="1"/>
  <c r="F35" i="1"/>
  <c r="I35" i="1" s="1"/>
  <c r="J35" i="1" s="1"/>
  <c r="A35" i="1"/>
  <c r="F34" i="1"/>
  <c r="I34" i="1" s="1"/>
  <c r="A34" i="1"/>
  <c r="J32" i="1"/>
  <c r="I32" i="1"/>
  <c r="F32" i="1"/>
  <c r="G32" i="1" s="1"/>
  <c r="H32" i="1" s="1"/>
  <c r="A32" i="1"/>
  <c r="F31" i="1"/>
  <c r="A31" i="1"/>
  <c r="I30" i="1"/>
  <c r="J30" i="1" s="1"/>
  <c r="G30" i="1"/>
  <c r="H30" i="1" s="1"/>
  <c r="F30" i="1"/>
  <c r="A30" i="1"/>
  <c r="F29" i="1"/>
  <c r="A29" i="1"/>
  <c r="I28" i="1"/>
  <c r="J28" i="1" s="1"/>
  <c r="F28" i="1"/>
  <c r="A28" i="1"/>
  <c r="F27" i="1"/>
  <c r="I27" i="1" s="1"/>
  <c r="J27" i="1" s="1"/>
  <c r="A27" i="1"/>
  <c r="E24" i="1"/>
  <c r="E110" i="1" s="1"/>
  <c r="E111" i="1" s="1"/>
  <c r="D24" i="1"/>
  <c r="D110" i="1" s="1"/>
  <c r="D111" i="1" s="1"/>
  <c r="J23" i="1"/>
  <c r="I23" i="1"/>
  <c r="G23" i="1"/>
  <c r="H23" i="1" s="1"/>
  <c r="F23" i="1"/>
  <c r="A23" i="1"/>
  <c r="F22" i="1"/>
  <c r="G22" i="1" s="1"/>
  <c r="A22" i="1"/>
  <c r="I21" i="1"/>
  <c r="J21" i="1" s="1"/>
  <c r="H21" i="1"/>
  <c r="G21" i="1"/>
  <c r="F21" i="1"/>
  <c r="A21" i="1"/>
  <c r="F20" i="1"/>
  <c r="I20" i="1" s="1"/>
  <c r="J20" i="1" s="1"/>
  <c r="A20" i="1"/>
  <c r="F19" i="1"/>
  <c r="I19" i="1" s="1"/>
  <c r="J19" i="1" s="1"/>
  <c r="A19" i="1"/>
  <c r="F18" i="1"/>
  <c r="A18" i="1"/>
  <c r="F17" i="1"/>
  <c r="I17" i="1" s="1"/>
  <c r="A17" i="1"/>
  <c r="F15" i="1"/>
  <c r="I15" i="1" s="1"/>
  <c r="J15" i="1" s="1"/>
  <c r="A15" i="1"/>
  <c r="F14" i="1"/>
  <c r="I14" i="1" s="1"/>
  <c r="J14" i="1" s="1"/>
  <c r="A14" i="1"/>
  <c r="I13" i="1"/>
  <c r="J13" i="1" s="1"/>
  <c r="F13" i="1"/>
  <c r="G13" i="1" s="1"/>
  <c r="H13" i="1" s="1"/>
  <c r="A13" i="1"/>
  <c r="F12" i="1"/>
  <c r="A12" i="1"/>
  <c r="I11" i="1"/>
  <c r="J11" i="1" s="1"/>
  <c r="G11" i="1"/>
  <c r="H11" i="1" s="1"/>
  <c r="F11" i="1"/>
  <c r="A11" i="1"/>
  <c r="F10" i="1"/>
  <c r="I10" i="1" s="1"/>
  <c r="J10" i="1" s="1"/>
  <c r="A10" i="1"/>
  <c r="C4" i="1"/>
  <c r="L1" i="1"/>
  <c r="B120" i="1" s="1"/>
  <c r="J17" i="1" l="1"/>
  <c r="J102" i="1"/>
  <c r="J104" i="1" s="1"/>
  <c r="I104" i="1"/>
  <c r="G34" i="1"/>
  <c r="G41" i="1" s="1"/>
  <c r="H38" i="1"/>
  <c r="G48" i="1"/>
  <c r="H48" i="1" s="1"/>
  <c r="G89" i="1"/>
  <c r="H89" i="1" s="1"/>
  <c r="B12" i="1"/>
  <c r="G17" i="1"/>
  <c r="F24" i="1"/>
  <c r="I38" i="1"/>
  <c r="J38" i="1" s="1"/>
  <c r="B103" i="1"/>
  <c r="B71" i="1"/>
  <c r="J90" i="1"/>
  <c r="B52" i="1"/>
  <c r="B48" i="1"/>
  <c r="H58" i="1"/>
  <c r="B89" i="1"/>
  <c r="J34" i="1"/>
  <c r="I100" i="1"/>
  <c r="J100" i="1" s="1"/>
  <c r="H100" i="1"/>
  <c r="G58" i="1"/>
  <c r="B20" i="1"/>
  <c r="B34" i="1"/>
  <c r="H52" i="1"/>
  <c r="I52" i="1"/>
  <c r="G52" i="1"/>
  <c r="B17" i="1"/>
  <c r="H29" i="1"/>
  <c r="I12" i="1"/>
  <c r="J12" i="1" s="1"/>
  <c r="G12" i="1"/>
  <c r="H12" i="1"/>
  <c r="B74" i="1"/>
  <c r="B64" i="1"/>
  <c r="G103" i="1"/>
  <c r="B39" i="1"/>
  <c r="I64" i="1"/>
  <c r="B98" i="1"/>
  <c r="B36" i="1"/>
  <c r="F54" i="1"/>
  <c r="G60" i="1"/>
  <c r="H60" i="1" s="1"/>
  <c r="G64" i="1"/>
  <c r="G66" i="1" s="1"/>
  <c r="G71" i="1"/>
  <c r="H71" i="1" s="1"/>
  <c r="B86" i="1"/>
  <c r="B92" i="1"/>
  <c r="H18" i="1"/>
  <c r="I86" i="1"/>
  <c r="J86" i="1" s="1"/>
  <c r="B22" i="1"/>
  <c r="B31" i="1"/>
  <c r="G36" i="1"/>
  <c r="I60" i="1"/>
  <c r="J60" i="1" s="1"/>
  <c r="G86" i="1"/>
  <c r="H86" i="1" s="1"/>
  <c r="G92" i="1"/>
  <c r="H92" i="1" s="1"/>
  <c r="H103" i="1"/>
  <c r="B14" i="1"/>
  <c r="B28" i="1"/>
  <c r="H36" i="1"/>
  <c r="G46" i="1"/>
  <c r="H46" i="1" s="1"/>
  <c r="G83" i="1"/>
  <c r="G19" i="1"/>
  <c r="H19" i="1" s="1"/>
  <c r="G28" i="1"/>
  <c r="H28" i="1" s="1"/>
  <c r="B107" i="1"/>
  <c r="B83" i="1"/>
  <c r="B60" i="1"/>
  <c r="B38" i="1"/>
  <c r="B19" i="1"/>
  <c r="B97" i="1"/>
  <c r="B73" i="1"/>
  <c r="B50" i="1"/>
  <c r="B30" i="1"/>
  <c r="B11" i="1"/>
  <c r="B88" i="1"/>
  <c r="B65" i="1"/>
  <c r="B45" i="1"/>
  <c r="B57" i="1"/>
  <c r="B35" i="1"/>
  <c r="B27" i="1"/>
  <c r="B59" i="1"/>
  <c r="B18" i="1"/>
  <c r="B96" i="1"/>
  <c r="B49" i="1"/>
  <c r="B29" i="1"/>
  <c r="B85" i="1"/>
  <c r="B62" i="1"/>
  <c r="B40" i="1"/>
  <c r="B21" i="1"/>
  <c r="B23" i="1"/>
  <c r="B102" i="1"/>
  <c r="B78" i="1"/>
  <c r="B15" i="1"/>
  <c r="B47" i="1"/>
  <c r="B82" i="1"/>
  <c r="B37" i="1"/>
  <c r="B72" i="1"/>
  <c r="B10" i="1"/>
  <c r="B99" i="1"/>
  <c r="B75" i="1"/>
  <c r="B53" i="1"/>
  <c r="B32" i="1"/>
  <c r="B13" i="1"/>
  <c r="B70" i="1"/>
  <c r="B108" i="1"/>
  <c r="B84" i="1"/>
  <c r="B46" i="1"/>
  <c r="I22" i="1"/>
  <c r="J22" i="1" s="1"/>
  <c r="H22" i="1"/>
  <c r="I31" i="1"/>
  <c r="J31" i="1" s="1"/>
  <c r="G31" i="1"/>
  <c r="H31" i="1" s="1"/>
  <c r="B77" i="1"/>
  <c r="H83" i="1"/>
  <c r="H118" i="1"/>
  <c r="G14" i="1"/>
  <c r="H14" i="1" s="1"/>
  <c r="B61" i="1"/>
  <c r="I77" i="1"/>
  <c r="G107" i="1"/>
  <c r="G109" i="1" s="1"/>
  <c r="B58" i="1"/>
  <c r="G77" i="1"/>
  <c r="B100" i="1"/>
  <c r="H120" i="1"/>
  <c r="G108" i="1"/>
  <c r="H108" i="1" s="1"/>
  <c r="G10" i="1"/>
  <c r="G29" i="1"/>
  <c r="H61" i="1"/>
  <c r="I74" i="1"/>
  <c r="J74" i="1" s="1"/>
  <c r="F104" i="1"/>
  <c r="H10" i="1"/>
  <c r="I61" i="1"/>
  <c r="J61" i="1" s="1"/>
  <c r="I108" i="1"/>
  <c r="J108" i="1" s="1"/>
  <c r="J109" i="1" s="1"/>
  <c r="G27" i="1"/>
  <c r="H82" i="1"/>
  <c r="G15" i="1"/>
  <c r="I18" i="1"/>
  <c r="J18" i="1" s="1"/>
  <c r="H27" i="1"/>
  <c r="G35" i="1"/>
  <c r="I37" i="1"/>
  <c r="J37" i="1" s="1"/>
  <c r="H47" i="1"/>
  <c r="G57" i="1"/>
  <c r="I59" i="1"/>
  <c r="J59" i="1" s="1"/>
  <c r="H70" i="1"/>
  <c r="G78" i="1"/>
  <c r="H78" i="1" s="1"/>
  <c r="I82" i="1"/>
  <c r="J82" i="1" s="1"/>
  <c r="G102" i="1"/>
  <c r="G104" i="1" s="1"/>
  <c r="G74" i="1"/>
  <c r="H74" i="1" s="1"/>
  <c r="G98" i="1"/>
  <c r="H98" i="1" s="1"/>
  <c r="G20" i="1"/>
  <c r="G39" i="1"/>
  <c r="H39" i="1" s="1"/>
  <c r="G84" i="1"/>
  <c r="H84" i="1" s="1"/>
  <c r="G72" i="1"/>
  <c r="G18" i="1"/>
  <c r="G37" i="1"/>
  <c r="H37" i="1" s="1"/>
  <c r="H72" i="1"/>
  <c r="I84" i="1"/>
  <c r="J84" i="1" s="1"/>
  <c r="H96" i="1"/>
  <c r="I29" i="1"/>
  <c r="J29" i="1" s="1"/>
  <c r="G47" i="1"/>
  <c r="H15" i="1"/>
  <c r="H57" i="1"/>
  <c r="I70" i="1"/>
  <c r="J70" i="1" s="1"/>
  <c r="H20" i="1"/>
  <c r="G49" i="1"/>
  <c r="G96" i="1"/>
  <c r="H49" i="1"/>
  <c r="G59" i="1"/>
  <c r="H59" i="1" s="1"/>
  <c r="G82" i="1"/>
  <c r="H35" i="1"/>
  <c r="H90" i="1" l="1"/>
  <c r="H107" i="1"/>
  <c r="H109" i="1" s="1"/>
  <c r="H34" i="1"/>
  <c r="H41" i="1" s="1"/>
  <c r="J41" i="1"/>
  <c r="F110" i="1"/>
  <c r="F111" i="1" s="1"/>
  <c r="I66" i="1"/>
  <c r="J64" i="1"/>
  <c r="J66" i="1" s="1"/>
  <c r="I90" i="1"/>
  <c r="I41" i="1"/>
  <c r="G24" i="1"/>
  <c r="H17" i="1"/>
  <c r="H24" i="1" s="1"/>
  <c r="H110" i="1" s="1"/>
  <c r="H111" i="1" s="1"/>
  <c r="H102" i="1"/>
  <c r="H104" i="1" s="1"/>
  <c r="G79" i="1"/>
  <c r="G54" i="1"/>
  <c r="J77" i="1"/>
  <c r="J79" i="1" s="1"/>
  <c r="I79" i="1"/>
  <c r="H77" i="1"/>
  <c r="H79" i="1" s="1"/>
  <c r="J52" i="1"/>
  <c r="J54" i="1" s="1"/>
  <c r="I54" i="1"/>
  <c r="I109" i="1"/>
  <c r="H54" i="1"/>
  <c r="J24" i="1"/>
  <c r="I24" i="1"/>
  <c r="H64" i="1"/>
  <c r="H66" i="1" s="1"/>
  <c r="G90" i="1"/>
  <c r="G110" i="1" l="1"/>
  <c r="G111" i="1" s="1"/>
  <c r="I110" i="1"/>
  <c r="I111" i="1" s="1"/>
  <c r="J110" i="1"/>
  <c r="J111" i="1" s="1"/>
</calcChain>
</file>

<file path=xl/sharedStrings.xml><?xml version="1.0" encoding="utf-8"?>
<sst xmlns="http://schemas.openxmlformats.org/spreadsheetml/2006/main" count="128" uniqueCount="116">
  <si>
    <t>KIMYO INTERNATIONAL UNIVERSITY IN TASHKENT</t>
  </si>
  <si>
    <t>Approved bу the University Council</t>
  </si>
  <si>
    <t>PROGRAMME CURRICULUM FOR BACHELORS IN</t>
  </si>
  <si>
    <t>___.____.2026, Protocol №___</t>
  </si>
  <si>
    <t>BANKING</t>
  </si>
  <si>
    <t>2026/2030 academic years</t>
  </si>
  <si>
    <t>№</t>
  </si>
  <si>
    <t>Code</t>
  </si>
  <si>
    <t>Module / Subject</t>
  </si>
  <si>
    <t>Contact hours</t>
  </si>
  <si>
    <t>Student-centered learning</t>
  </si>
  <si>
    <t>Total hours of study*</t>
  </si>
  <si>
    <t>Korean credits</t>
  </si>
  <si>
    <t>ECTS</t>
  </si>
  <si>
    <t>Lectures</t>
  </si>
  <si>
    <t>Sem., PBL/CBL, Lab, Pract., etc.</t>
  </si>
  <si>
    <t>Total</t>
  </si>
  <si>
    <t>Year One</t>
  </si>
  <si>
    <t>First semester</t>
  </si>
  <si>
    <t>General modules</t>
  </si>
  <si>
    <t>COMPUTER 1</t>
  </si>
  <si>
    <t>ENGLISH LANGUAGE 1</t>
  </si>
  <si>
    <t>CONTEMPORARY HISTORY OF UZBEKISTAN</t>
  </si>
  <si>
    <t>MATHEMATICS FOR ECONOMICS 1</t>
  </si>
  <si>
    <t>PRINCIPLES OF ECONOMICS 1</t>
  </si>
  <si>
    <t>RUSSIAN LANGUAGE 1</t>
  </si>
  <si>
    <t>Elective modules (one out of given)</t>
  </si>
  <si>
    <t>ARABIC LANGUAGE 1</t>
  </si>
  <si>
    <t>CHINESE LANGUAGE 1</t>
  </si>
  <si>
    <t>ITALIAN LANGUAGE 1</t>
  </si>
  <si>
    <t>JAPANESE LANGUAGE 1</t>
  </si>
  <si>
    <t>KOREAN LANGUAGE 1</t>
  </si>
  <si>
    <t>PERSIAN LANGUAGE 1</t>
  </si>
  <si>
    <t>TURKISH LANGUAGE 1</t>
  </si>
  <si>
    <t>Total (First semester)</t>
  </si>
  <si>
    <t>Second semester</t>
  </si>
  <si>
    <t>COMPUTER 2</t>
  </si>
  <si>
    <t>ENGLISH LANGUAGE 2</t>
  </si>
  <si>
    <t>MATHEMATICS FOR ECONOMICS 2</t>
  </si>
  <si>
    <t>PRINCIPLES OF ECONOMICS 2</t>
  </si>
  <si>
    <t>RUSSIAN LANGUAGE 2</t>
  </si>
  <si>
    <t>PHILOSOPHY AND RELIGIOUS STUDIES</t>
  </si>
  <si>
    <t>ARABIC LANGUAGE 2</t>
  </si>
  <si>
    <t>CHINESE LANGUAGE 2</t>
  </si>
  <si>
    <t>ITALIAN LANGUAGE 2</t>
  </si>
  <si>
    <t>JAPANESE LANGUAGE 2</t>
  </si>
  <si>
    <t>KOREAN LANGUAGE 2</t>
  </si>
  <si>
    <t>PERSIAN LANGUAGE 2</t>
  </si>
  <si>
    <t>TURKISH LANGUAGE 2</t>
  </si>
  <si>
    <t>Total (Second semester)</t>
  </si>
  <si>
    <t>Year Two</t>
  </si>
  <si>
    <t>Third semester</t>
  </si>
  <si>
    <t xml:space="preserve">Compulsory modules </t>
  </si>
  <si>
    <t>FINANCE</t>
  </si>
  <si>
    <t>MONEY, CREDIT AND BANKS</t>
  </si>
  <si>
    <t>MICROECONOMICS</t>
  </si>
  <si>
    <t>BASIC STATISTICS 1</t>
  </si>
  <si>
    <t>BUSINESS LAW</t>
  </si>
  <si>
    <t>PRINCIPLES OF MANAGEMENT</t>
  </si>
  <si>
    <t>BUSINESS ENGLISH 1</t>
  </si>
  <si>
    <t>PREPARATION FOR TOPIK 1</t>
  </si>
  <si>
    <t>Total (Third semester)</t>
  </si>
  <si>
    <t>Fourth semester</t>
  </si>
  <si>
    <t>Compulsory modules</t>
  </si>
  <si>
    <t>BASIC ACCOUNTING</t>
  </si>
  <si>
    <t>ORGANIZATION OF COMMERCIAL BANK ACTIVITY</t>
  </si>
  <si>
    <t>MACROECONOMICS</t>
  </si>
  <si>
    <t>BASIC STATISTICS 2</t>
  </si>
  <si>
    <t>PRINCIPLES OF MARKETING</t>
  </si>
  <si>
    <t>BUSINESS ENGLISH 2</t>
  </si>
  <si>
    <t>PREPARATION FOR TOPIK 2</t>
  </si>
  <si>
    <t>Total (Fourth semester)</t>
  </si>
  <si>
    <t>Year Three</t>
  </si>
  <si>
    <t>Fifth semester</t>
  </si>
  <si>
    <t>INTERNATIONAL BANKING</t>
  </si>
  <si>
    <t>FINANCIAL MARKETS</t>
  </si>
  <si>
    <t>BANK ACCOUNTING</t>
  </si>
  <si>
    <t>ECONOMIC ANALYSIS</t>
  </si>
  <si>
    <t>BANK MANAGMENT</t>
  </si>
  <si>
    <t>TAXES AND TAXTION</t>
  </si>
  <si>
    <t>PUBLIC FINАNCЕ</t>
  </si>
  <si>
    <t>WORLD ECONOMY</t>
  </si>
  <si>
    <t>Total (Fifth semester)</t>
  </si>
  <si>
    <t>Sixth semester</t>
  </si>
  <si>
    <t>BANKING RISKS</t>
  </si>
  <si>
    <t>ISLAMIC BANKING</t>
  </si>
  <si>
    <t>INTERNATIONAL FINANCE</t>
  </si>
  <si>
    <t>INSURANCE</t>
  </si>
  <si>
    <t>FINANCIAL TECHNOLOGIES</t>
  </si>
  <si>
    <t>ECONOMETRICS</t>
  </si>
  <si>
    <t>ANALYSIS OF BANKS' ACTIVITIES</t>
  </si>
  <si>
    <t>Total (Sixth semester)</t>
  </si>
  <si>
    <t>Internship (2 week)</t>
  </si>
  <si>
    <t>FIELD TRIP OR INTERNSHIP (INTRODUCTORY)</t>
  </si>
  <si>
    <t>Year Four</t>
  </si>
  <si>
    <t>Seventh semester</t>
  </si>
  <si>
    <t>INVESTMENTS</t>
  </si>
  <si>
    <t>BANK AUDIT</t>
  </si>
  <si>
    <t>BANKING REGULATION AND CONTROL</t>
  </si>
  <si>
    <t>DIGITAL BUSINESS AND E-COMMERCE</t>
  </si>
  <si>
    <t>FINACIAL MANAGMENT</t>
  </si>
  <si>
    <t>INTERNATIONAL NEGOTIATION</t>
  </si>
  <si>
    <t>INTERNATIONAL BUSINESS</t>
  </si>
  <si>
    <t>Total (Seventh semester)</t>
  </si>
  <si>
    <t>Eighth semester</t>
  </si>
  <si>
    <t>UNDERGRADUATE PRACTICE</t>
  </si>
  <si>
    <t>GRADUATION RESEARCH (PROJECT) / 
FINAL CROSS-DISCIPLINARY EXAMINATION</t>
  </si>
  <si>
    <t>Total (Eighth semester)</t>
  </si>
  <si>
    <t>Total for the 4 years</t>
  </si>
  <si>
    <t>Total for the 4 years (with Internship)</t>
  </si>
  <si>
    <t>*The duration of one academic hour is 50 minutes.</t>
  </si>
  <si>
    <t>Acting Rector</t>
  </si>
  <si>
    <t>A.Allakuliev</t>
  </si>
  <si>
    <t>Head of Academic Affairs Department</t>
  </si>
  <si>
    <t>R.Allaberganov</t>
  </si>
  <si>
    <t>Course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</si>
</sst>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6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Continuous" vertical="center"/>
    </xf>
    <xf numFmtId="0" fontId="2" fillId="2" borderId="0" xfId="0" applyFont="1" applyFill="1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Continuous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Continuous" vertical="distributed"/>
    </xf>
    <xf numFmtId="0" fontId="7" fillId="3" borderId="4" xfId="0" applyFont="1" applyFill="1" applyBorder="1" applyAlignment="1">
      <alignment horizontal="centerContinuous" vertical="distributed" wrapText="1"/>
    </xf>
    <xf numFmtId="0" fontId="7" fillId="3" borderId="5" xfId="0" applyFont="1" applyFill="1" applyBorder="1" applyAlignment="1">
      <alignment horizontal="centerContinuous" vertical="distributed" wrapText="1"/>
    </xf>
    <xf numFmtId="0" fontId="7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4" borderId="3" xfId="0" applyFont="1" applyFill="1" applyBorder="1" applyAlignment="1">
      <alignment horizontal="centerContinuous" vertical="center"/>
    </xf>
    <xf numFmtId="0" fontId="7" fillId="4" borderId="4" xfId="0" applyFont="1" applyFill="1" applyBorder="1" applyAlignment="1">
      <alignment horizontal="centerContinuous" vertical="center"/>
    </xf>
    <xf numFmtId="0" fontId="7" fillId="4" borderId="5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/>
    </xf>
    <xf numFmtId="0" fontId="7" fillId="2" borderId="4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2" borderId="8" xfId="1" applyFont="1" applyFill="1" applyBorder="1" applyAlignment="1">
      <alignment vertical="center"/>
    </xf>
    <xf numFmtId="0" fontId="7" fillId="2" borderId="9" xfId="1" applyFont="1" applyFill="1" applyBorder="1" applyAlignment="1">
      <alignment vertical="center"/>
    </xf>
    <xf numFmtId="0" fontId="7" fillId="2" borderId="10" xfId="1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</cellXfs>
  <cellStyles count="2">
    <cellStyle name="Обычный" xfId="0" builtinId="0"/>
    <cellStyle name="Обычный 4" xfId="1" xr:uid="{CC109405-238D-4F5D-A054-7A6A9A76A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285750</xdr:colOff>
      <xdr:row>3</xdr:row>
      <xdr:rowOff>101639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3630900-B956-48CC-939F-47948B841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" r="5606"/>
        <a:stretch>
          <a:fillRect/>
        </a:stretch>
      </xdr:blipFill>
      <xdr:spPr bwMode="auto">
        <a:xfrm>
          <a:off x="0" y="0"/>
          <a:ext cx="581025" cy="673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rrukh%20Sulaymonov/Downloads/Telegram%20Desktop/+&#1091;&#1082;&#1091;&#1074;%20&#1088;&#1077;&#1078;&#1072;&#1083;&#1072;&#1088;%202025_final%20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"/>
      <sheetName val="BAN"/>
      <sheetName val="BMA"/>
      <sheetName val="FIN"/>
      <sheetName val="IER"/>
      <sheetName val="IMA"/>
      <sheetName val="TOU"/>
      <sheetName val="ENG(ART)"/>
      <sheetName val="ENG(MATH)"/>
      <sheetName val="HST"/>
      <sheetName val="KOR"/>
      <sheetName val="PRE"/>
      <sheetName val="PRI"/>
      <sheetName val="PSY"/>
      <sheetName val="RUS"/>
      <sheetName val="SPD"/>
      <sheetName val="TRK"/>
      <sheetName val="TRS"/>
      <sheetName val="UZB"/>
      <sheetName val="BAT"/>
      <sheetName val="IND"/>
      <sheetName val="FAD"/>
      <sheetName val="APP"/>
      <sheetName val="PNG"/>
      <sheetName val="AUD"/>
      <sheetName val="CEN"/>
      <sheetName val="ECI"/>
      <sheetName val="ELE"/>
      <sheetName val="ISE"/>
      <sheetName val="LEN"/>
      <sheetName val="MEN"/>
      <sheetName val="MEC"/>
      <sheetName val="REN"/>
      <sheetName val="SPT"/>
      <sheetName val="TRM"/>
      <sheetName val="DNT"/>
      <sheetName val="MED"/>
      <sheetName val="NRS"/>
      <sheetName val="PED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">
          <cell r="A1" t="str">
            <v>FACULTY</v>
          </cell>
          <cell r="B1" t="str">
            <v>киска номи</v>
          </cell>
          <cell r="C1" t="str">
            <v>декан</v>
          </cell>
          <cell r="D1" t="str">
            <v>кафедра</v>
          </cell>
          <cell r="E1" t="str">
            <v>мудири</v>
          </cell>
          <cell r="G1" t="str">
            <v>ШИФР</v>
          </cell>
        </row>
        <row r="2">
          <cell r="A2" t="str">
            <v>GENERAL MEDICINE</v>
          </cell>
          <cell r="B2" t="str">
            <v>MED</v>
          </cell>
          <cell r="C2" t="str">
            <v>J.Akhmedov</v>
          </cell>
          <cell r="D2" t="str">
            <v>Head of "Fundamental Medical Sciences" department</v>
          </cell>
          <cell r="E2" t="str">
            <v>A.Khatamov</v>
          </cell>
          <cell r="G2">
            <v>60910200</v>
          </cell>
        </row>
        <row r="3">
          <cell r="A3" t="str">
            <v>INTERNATIONAL ECONOMIC RELATIONS</v>
          </cell>
          <cell r="B3" t="str">
            <v>IER</v>
          </cell>
          <cell r="C3" t="str">
            <v>M.Berdikulov</v>
          </cell>
          <cell r="D3" t="str">
            <v>Head of "International Economics" department</v>
          </cell>
          <cell r="E3" t="str">
            <v>A.Raxmonov</v>
          </cell>
          <cell r="G3">
            <v>60411100</v>
          </cell>
        </row>
        <row r="4">
          <cell r="A4" t="str">
            <v>LIFT ENGINEERING</v>
          </cell>
          <cell r="B4" t="str">
            <v>LEN</v>
          </cell>
          <cell r="C4" t="str">
            <v>U.Tashmuratov</v>
          </cell>
          <cell r="D4" t="str">
            <v>Head of "Mechanical Engineering" department</v>
          </cell>
          <cell r="E4" t="str">
            <v>A.Rustamov</v>
          </cell>
          <cell r="G4">
            <v>60711000</v>
          </cell>
        </row>
        <row r="5">
          <cell r="A5" t="str">
            <v>MECHATRONICS SYSTEMS ENGINEERING</v>
          </cell>
          <cell r="B5" t="str">
            <v>MEC</v>
          </cell>
          <cell r="C5" t="str">
            <v>U.Tashmuratov</v>
          </cell>
          <cell r="D5" t="str">
            <v>Head of "Mechanical Engineering" department</v>
          </cell>
          <cell r="E5" t="str">
            <v>A.Rustamov</v>
          </cell>
          <cell r="G5">
            <v>60711000</v>
          </cell>
        </row>
        <row r="6">
          <cell r="A6" t="str">
            <v>MECHANICAL ENGINEERING</v>
          </cell>
          <cell r="B6" t="str">
            <v>MEN</v>
          </cell>
          <cell r="C6" t="str">
            <v>U.Tashmuratov</v>
          </cell>
          <cell r="D6" t="str">
            <v>Head of "Mechanical Engineering" department</v>
          </cell>
          <cell r="E6" t="str">
            <v>A.Rustamov</v>
          </cell>
          <cell r="G6">
            <v>60712300</v>
          </cell>
        </row>
        <row r="7">
          <cell r="A7" t="str">
            <v>TRAFFIC MANAGEMENT</v>
          </cell>
          <cell r="B7" t="str">
            <v>TRM</v>
          </cell>
          <cell r="C7" t="str">
            <v>U.Tashmuratov</v>
          </cell>
          <cell r="D7" t="str">
            <v>Head of "Traffic engineering and management" department</v>
          </cell>
          <cell r="E7" t="str">
            <v>A.Yunusov</v>
          </cell>
          <cell r="G7">
            <v>61040200</v>
          </cell>
        </row>
        <row r="8">
          <cell r="A8" t="str">
            <v>HISTORY (BY COUNTRIES AND DIRECTIONS)</v>
          </cell>
          <cell r="B8" t="str">
            <v>HST</v>
          </cell>
          <cell r="C8" t="str">
            <v>A.Tashpulatov</v>
          </cell>
          <cell r="D8" t="str">
            <v>Head of "History" department</v>
          </cell>
          <cell r="E8" t="str">
            <v>A.Zamonov</v>
          </cell>
          <cell r="G8">
            <v>60220300</v>
          </cell>
        </row>
        <row r="9">
          <cell r="A9" t="str">
            <v>CIVIL ENGINEERING</v>
          </cell>
          <cell r="B9" t="str">
            <v>CEN</v>
          </cell>
          <cell r="C9" t="str">
            <v>K.Saidov</v>
          </cell>
          <cell r="D9" t="str">
            <v>Head of "Civil Engineering" department</v>
          </cell>
          <cell r="E9" t="str">
            <v>B.Inamov</v>
          </cell>
          <cell r="G9">
            <v>60730300</v>
          </cell>
        </row>
        <row r="10">
          <cell r="A10" t="str">
            <v>ENGINEERING COMMUNICATIONS CONSTRUCTION AND INSTALLATION (BY TYPES)</v>
          </cell>
          <cell r="B10" t="str">
            <v>ECI</v>
          </cell>
          <cell r="C10" t="str">
            <v>K.Saidov</v>
          </cell>
          <cell r="D10" t="str">
            <v>Head of "Civil Engineering" department</v>
          </cell>
          <cell r="E10" t="str">
            <v>B.Inamov</v>
          </cell>
          <cell r="G10">
            <v>60730400</v>
          </cell>
        </row>
        <row r="11">
          <cell r="A11" t="str">
            <v>KOREAN PHILOLOGY</v>
          </cell>
          <cell r="B11" t="str">
            <v>KOR</v>
          </cell>
          <cell r="C11" t="str">
            <v>Kim Yun Hoe</v>
          </cell>
          <cell r="D11" t="str">
            <v>Head of "Korean Language" department</v>
          </cell>
          <cell r="E11" t="str">
            <v>D.Ergasheva</v>
          </cell>
          <cell r="G11">
            <v>60230100</v>
          </cell>
        </row>
        <row r="12">
          <cell r="A12" t="str">
            <v>ENGLISH EDUCATION (ARTS)</v>
          </cell>
          <cell r="B12" t="str">
            <v>ENGA</v>
          </cell>
          <cell r="C12" t="str">
            <v>U.Butaev</v>
          </cell>
          <cell r="D12" t="str">
            <v>Head of "English Education department" department</v>
          </cell>
          <cell r="E12" t="str">
            <v>E.Tovmasyan</v>
          </cell>
          <cell r="G12">
            <v>60110900</v>
          </cell>
        </row>
        <row r="13">
          <cell r="A13" t="str">
            <v>ENGLISH EDUCATION (MATHEMATICS/PHYSICS)</v>
          </cell>
          <cell r="B13" t="str">
            <v>ENGM</v>
          </cell>
          <cell r="C13" t="str">
            <v>U.Butaev</v>
          </cell>
          <cell r="D13" t="str">
            <v>Head of "English Education department" department</v>
          </cell>
          <cell r="E13" t="str">
            <v>E.Tovmasyan</v>
          </cell>
          <cell r="G13">
            <v>60110900</v>
          </cell>
        </row>
        <row r="14">
          <cell r="A14" t="str">
            <v>ACCOUNTING</v>
          </cell>
          <cell r="B14" t="str">
            <v>ACC</v>
          </cell>
          <cell r="C14" t="str">
            <v>A.Vosikov</v>
          </cell>
          <cell r="D14" t="str">
            <v>Head of "Banking &amp; Accounting" department</v>
          </cell>
          <cell r="E14" t="str">
            <v>F.Dodiev</v>
          </cell>
          <cell r="G14">
            <v>60410200</v>
          </cell>
        </row>
        <row r="15">
          <cell r="A15" t="str">
            <v>BANKING</v>
          </cell>
          <cell r="B15" t="str">
            <v>BAN</v>
          </cell>
          <cell r="C15" t="str">
            <v>A.Vosikov</v>
          </cell>
          <cell r="D15" t="str">
            <v>Head of "Banking &amp; Accounting" department</v>
          </cell>
          <cell r="E15" t="str">
            <v>F.Dodiev</v>
          </cell>
          <cell r="G15">
            <v>60410600</v>
          </cell>
        </row>
        <row r="16">
          <cell r="A16" t="str">
            <v>THEORY AND PRACTICE OF TRANSLATION (TURKISH LANGUAGE)</v>
          </cell>
          <cell r="B16" t="str">
            <v>TRK</v>
          </cell>
          <cell r="C16" t="str">
            <v>U.Butaev</v>
          </cell>
          <cell r="D16" t="str">
            <v>Head of "Translation thery and practice" department</v>
          </cell>
          <cell r="E16" t="str">
            <v>G.Odilova</v>
          </cell>
          <cell r="G16">
            <v>60230200</v>
          </cell>
        </row>
        <row r="17">
          <cell r="A17" t="str">
            <v>TRANSLATION STUDIES (WITH CHINESE AND ENGLISH LANGUAGE)</v>
          </cell>
          <cell r="B17" t="str">
            <v>TRS</v>
          </cell>
          <cell r="C17" t="str">
            <v>U.Butaev</v>
          </cell>
          <cell r="D17" t="str">
            <v>Head of "Translation thery and practice" department</v>
          </cell>
          <cell r="E17" t="str">
            <v>G.Odilova</v>
          </cell>
          <cell r="G17">
            <v>60230200</v>
          </cell>
        </row>
        <row r="18">
          <cell r="A18" t="str">
            <v>UZBEK LANGUAGE AND LITERATURE</v>
          </cell>
          <cell r="B18" t="str">
            <v>UZB</v>
          </cell>
          <cell r="C18" t="str">
            <v>U.Butaev</v>
          </cell>
          <cell r="D18" t="str">
            <v>Head of "Translation thery and practice" department</v>
          </cell>
          <cell r="E18" t="str">
            <v>G.Odilova</v>
          </cell>
          <cell r="G18">
            <v>60110700</v>
          </cell>
        </row>
        <row r="19">
          <cell r="A19" t="str">
            <v>INFORMATION SYSTEMS ENGINEERING</v>
          </cell>
          <cell r="B19" t="str">
            <v>ISE</v>
          </cell>
          <cell r="C19" t="str">
            <v>U.Tashmuratov</v>
          </cell>
          <cell r="D19" t="str">
            <v>Head of "Applied Informatics" department</v>
          </cell>
          <cell r="E19" t="str">
            <v>J.Yusupov</v>
          </cell>
          <cell r="G19">
            <v>60610100</v>
          </cell>
        </row>
        <row r="20">
          <cell r="A20" t="str">
            <v>ELECTRICAL ENGINEERING</v>
          </cell>
          <cell r="B20" t="str">
            <v>ELE</v>
          </cell>
          <cell r="C20" t="str">
            <v>U.Tashmuratov</v>
          </cell>
          <cell r="D20" t="str">
            <v>Head of "Energy and Appied Sciences" department</v>
          </cell>
          <cell r="E20" t="str">
            <v>K.Abdivakhidov</v>
          </cell>
          <cell r="G20">
            <v>60710500</v>
          </cell>
        </row>
        <row r="21">
          <cell r="A21" t="str">
            <v>RENEWABLE ENERGY</v>
          </cell>
          <cell r="B21" t="str">
            <v>REN</v>
          </cell>
          <cell r="C21" t="str">
            <v>U.Tashmuratov</v>
          </cell>
          <cell r="D21" t="str">
            <v>Head of "Energy and Appied Sciences" department</v>
          </cell>
          <cell r="E21" t="str">
            <v>K.Abdivakhidov</v>
          </cell>
          <cell r="G21">
            <v>60712100</v>
          </cell>
        </row>
        <row r="22">
          <cell r="A22" t="str">
            <v>SPACE TECHNOLOGY</v>
          </cell>
          <cell r="B22" t="str">
            <v>SPT</v>
          </cell>
          <cell r="C22" t="str">
            <v>U.Tashmuratov</v>
          </cell>
          <cell r="D22" t="str">
            <v>Head of "Energy and Appied Sciences" department</v>
          </cell>
          <cell r="E22" t="str">
            <v>K.Abdivakhidov</v>
          </cell>
          <cell r="G22">
            <v>60711600</v>
          </cell>
        </row>
        <row r="23">
          <cell r="A23" t="str">
            <v>NURSING</v>
          </cell>
          <cell r="B23" t="str">
            <v>NRS</v>
          </cell>
          <cell r="C23" t="str">
            <v>J.Akhmedov</v>
          </cell>
          <cell r="D23" t="str">
            <v>Head of "Clinical disciplines" department</v>
          </cell>
          <cell r="E23" t="str">
            <v>L.Abdurakhimova</v>
          </cell>
          <cell r="G23">
            <v>60910600</v>
          </cell>
        </row>
        <row r="24">
          <cell r="A24" t="str">
            <v>PEDIATRICS</v>
          </cell>
          <cell r="B24" t="str">
            <v>PED</v>
          </cell>
          <cell r="C24" t="str">
            <v>J.Akhmedov</v>
          </cell>
          <cell r="D24" t="str">
            <v>Head of "Clinical disciplines" department</v>
          </cell>
          <cell r="E24" t="str">
            <v>L.Abdurakhimova</v>
          </cell>
          <cell r="G24">
            <v>60910300</v>
          </cell>
        </row>
        <row r="25">
          <cell r="A25" t="str">
            <v>PAINTING</v>
          </cell>
          <cell r="B25" t="str">
            <v>PNG</v>
          </cell>
          <cell r="C25" t="str">
            <v>K.Saidov</v>
          </cell>
          <cell r="D25" t="str">
            <v>Head of "Painting" department</v>
          </cell>
          <cell r="E25" t="str">
            <v>L.Almyasheva</v>
          </cell>
          <cell r="G25">
            <v>60210500</v>
          </cell>
        </row>
        <row r="26">
          <cell r="A26" t="str">
            <v>RUSSIAN AS A FOREIGN LANGUAGE (FOR UZBEK SPEAKERS)</v>
          </cell>
          <cell r="B26" t="str">
            <v>RUS</v>
          </cell>
          <cell r="C26" t="str">
            <v>U.Butaev</v>
          </cell>
          <cell r="D26" t="str">
            <v>Head of "Russian Language" department</v>
          </cell>
          <cell r="E26" t="str">
            <v>M.Berdieva</v>
          </cell>
          <cell r="G26">
            <v>60230100</v>
          </cell>
        </row>
        <row r="27">
          <cell r="A27" t="str">
            <v>DENTISTRY</v>
          </cell>
          <cell r="B27" t="str">
            <v>DNT</v>
          </cell>
          <cell r="C27" t="str">
            <v>J.Akhmedov</v>
          </cell>
          <cell r="D27" t="str">
            <v>Head of "Dental disciplines" department</v>
          </cell>
          <cell r="E27" t="str">
            <v>M.Mirxayitov</v>
          </cell>
          <cell r="G27">
            <v>60910100</v>
          </cell>
        </row>
        <row r="28">
          <cell r="A28" t="str">
            <v>PRESCHOOL EDUCATION</v>
          </cell>
          <cell r="B28" t="str">
            <v>PRE</v>
          </cell>
          <cell r="C28" t="str">
            <v>A.Makhammadiev</v>
          </cell>
          <cell r="D28" t="str">
            <v>Head of "Preschool and Primary Education" department</v>
          </cell>
          <cell r="E28" t="str">
            <v>M.Rustamova</v>
          </cell>
          <cell r="G28">
            <v>60110200</v>
          </cell>
        </row>
        <row r="29">
          <cell r="A29" t="str">
            <v>TOURISM</v>
          </cell>
          <cell r="B29" t="str">
            <v>TOU</v>
          </cell>
          <cell r="C29" t="str">
            <v>A.Tashpulatov</v>
          </cell>
          <cell r="D29" t="str">
            <v>Head of "Tourism" department</v>
          </cell>
          <cell r="E29" t="str">
            <v>M.Temirov</v>
          </cell>
          <cell r="G29">
            <v>61010100</v>
          </cell>
        </row>
        <row r="30">
          <cell r="A30" t="str">
            <v>BEAUTY AESTHETICS</v>
          </cell>
          <cell r="B30" t="str">
            <v>BAT</v>
          </cell>
          <cell r="C30" t="str">
            <v>A.Abdullayev</v>
          </cell>
          <cell r="D30" t="str">
            <v>Head of "Applied cosmetology" department</v>
          </cell>
          <cell r="E30" t="str">
            <v>N.Gazixodjayeva</v>
          </cell>
          <cell r="G30">
            <v>61011100</v>
          </cell>
        </row>
        <row r="31">
          <cell r="A31" t="str">
            <v>PRIMARY EDUCATION</v>
          </cell>
          <cell r="B31" t="str">
            <v>PRI</v>
          </cell>
          <cell r="C31" t="str">
            <v>A.Makhammadiev</v>
          </cell>
          <cell r="D31" t="str">
            <v>Head of "Pedagogy and Psychology" department</v>
          </cell>
          <cell r="E31" t="str">
            <v>N.Kholyigitova</v>
          </cell>
          <cell r="G31">
            <v>60110400</v>
          </cell>
        </row>
        <row r="32">
          <cell r="A32" t="str">
            <v>PSYCHOLOGY (BY TYPES OF ACTIVITY)</v>
          </cell>
          <cell r="B32" t="str">
            <v>PSY</v>
          </cell>
          <cell r="C32" t="str">
            <v>A.Makhammadiev</v>
          </cell>
          <cell r="D32" t="str">
            <v>Head of "Pedagogy and Psychology" department</v>
          </cell>
          <cell r="E32" t="str">
            <v>N.Kholyigitova</v>
          </cell>
          <cell r="G32">
            <v>60310300</v>
          </cell>
        </row>
        <row r="33">
          <cell r="A33" t="str">
            <v>SPECIAL PEDAGOGY</v>
          </cell>
          <cell r="B33" t="str">
            <v>SPD</v>
          </cell>
          <cell r="C33" t="str">
            <v>A.Makhammadiev</v>
          </cell>
          <cell r="D33" t="str">
            <v>Head of "Special pedagogy" department</v>
          </cell>
          <cell r="E33" t="str">
            <v>N.Musayeva</v>
          </cell>
          <cell r="G33">
            <v>60110300</v>
          </cell>
        </row>
        <row r="34">
          <cell r="A34" t="str">
            <v>FASHION DESIGN</v>
          </cell>
          <cell r="B34" t="str">
            <v>FAD</v>
          </cell>
          <cell r="C34" t="str">
            <v>M.Odilov</v>
          </cell>
          <cell r="D34" t="str">
            <v>Head of "Fashion Design" department</v>
          </cell>
          <cell r="E34" t="str">
            <v>S.Sadikova</v>
          </cell>
          <cell r="G34">
            <v>60210400</v>
          </cell>
        </row>
        <row r="35">
          <cell r="A35" t="str">
            <v>FINANCE</v>
          </cell>
          <cell r="B35" t="str">
            <v>FIN</v>
          </cell>
          <cell r="C35" t="str">
            <v>A.Vosikov</v>
          </cell>
          <cell r="D35" t="str">
            <v>Head of "Finance" department</v>
          </cell>
          <cell r="E35" t="str">
            <v>Sh.Elmurodov</v>
          </cell>
          <cell r="G35">
            <v>60410500</v>
          </cell>
        </row>
        <row r="36">
          <cell r="A36" t="str">
            <v>ARCHITECTURE &amp; URBAN DESIGN</v>
          </cell>
          <cell r="B36" t="str">
            <v>AUD</v>
          </cell>
          <cell r="C36" t="str">
            <v>K.Saidov</v>
          </cell>
          <cell r="D36" t="str">
            <v>Head of "Architecture and Urban Planning" department</v>
          </cell>
          <cell r="E36" t="str">
            <v>Sh.Isametdinova</v>
          </cell>
          <cell r="G36">
            <v>60730100</v>
          </cell>
        </row>
        <row r="37">
          <cell r="A37" t="str">
            <v>DESIGN (INTERIOR DESIGN)</v>
          </cell>
          <cell r="B37" t="str">
            <v>IND</v>
          </cell>
          <cell r="C37" t="str">
            <v>K.Saidov</v>
          </cell>
          <cell r="D37" t="str">
            <v>Head of "Architecture and Urban Planning" department</v>
          </cell>
          <cell r="E37" t="str">
            <v>Sh.Isametdinova</v>
          </cell>
          <cell r="G37">
            <v>60210400</v>
          </cell>
        </row>
        <row r="38">
          <cell r="A38" t="str">
            <v>APPLIED MATHEMATICS</v>
          </cell>
          <cell r="B38" t="str">
            <v>APP</v>
          </cell>
          <cell r="C38" t="str">
            <v>U.Tashmuratov</v>
          </cell>
          <cell r="D38" t="str">
            <v>Head of "Information Technologies" department</v>
          </cell>
          <cell r="E38" t="str">
            <v>Sh.Sabirov</v>
          </cell>
          <cell r="G38">
            <v>60540200</v>
          </cell>
        </row>
        <row r="39">
          <cell r="A39" t="str">
            <v>BUSINESS MANAGEMENT</v>
          </cell>
          <cell r="B39" t="str">
            <v>BMA</v>
          </cell>
          <cell r="C39" t="str">
            <v>M.Berdikulov</v>
          </cell>
          <cell r="D39" t="str">
            <v>Head of "Management &amp; Marketing" department</v>
          </cell>
          <cell r="E39" t="str">
            <v>Z.Sharipova</v>
          </cell>
          <cell r="G39">
            <v>60410900</v>
          </cell>
        </row>
        <row r="40">
          <cell r="A40" t="str">
            <v>INTERNATIONAL MARKETING</v>
          </cell>
          <cell r="B40" t="str">
            <v>IMA</v>
          </cell>
          <cell r="C40" t="str">
            <v>A.Tashpulatov</v>
          </cell>
          <cell r="D40" t="str">
            <v>Head of "Management &amp; Marketing" department</v>
          </cell>
          <cell r="E40" t="str">
            <v>Z.Sharipova</v>
          </cell>
          <cell r="G40">
            <v>60411200</v>
          </cell>
        </row>
        <row r="49">
          <cell r="C49">
            <v>1</v>
          </cell>
          <cell r="D49" t="str">
            <v>Перекинуть всё на шаблоны</v>
          </cell>
        </row>
        <row r="50">
          <cell r="C50">
            <v>2</v>
          </cell>
          <cell r="D50" t="str">
            <v>Убрать лишние строки</v>
          </cell>
        </row>
        <row r="51">
          <cell r="C51">
            <v>3</v>
          </cell>
          <cell r="D51" t="str">
            <v>Проверить СУММА</v>
          </cell>
        </row>
        <row r="52">
          <cell r="C52">
            <v>4</v>
          </cell>
          <cell r="D52" t="str">
            <v>Перевести все римские цифры в нормальные</v>
          </cell>
        </row>
        <row r="53">
          <cell r="C53">
            <v>5</v>
          </cell>
          <cell r="D53" t="str">
            <v>Убрать лишние пробелы</v>
          </cell>
        </row>
        <row r="54">
          <cell r="C54">
            <v>6</v>
          </cell>
          <cell r="D54" t="str">
            <v>Пропорция учеб/самост. у медиков</v>
          </cell>
        </row>
        <row r="55">
          <cell r="C55">
            <v>7</v>
          </cell>
          <cell r="D55" t="str">
            <v>Проверить историю, философию, религию</v>
          </cell>
        </row>
        <row r="56">
          <cell r="C56">
            <v>8</v>
          </cell>
          <cell r="D56" t="str">
            <v>Проверить и вписать продолжительность практик</v>
          </cell>
        </row>
        <row r="57">
          <cell r="C57">
            <v>9</v>
          </cell>
          <cell r="D57" t="str">
            <v>Проверить на дубликаты</v>
          </cell>
        </row>
        <row r="58">
          <cell r="C58">
            <v>10</v>
          </cell>
          <cell r="D58" t="str">
            <v>Проверить на кредиты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08C3-B2B7-4D46-9730-8921BA93DFDC}">
  <sheetPr>
    <pageSetUpPr fitToPage="1"/>
  </sheetPr>
  <dimension ref="A1:L120"/>
  <sheetViews>
    <sheetView tabSelected="1" view="pageBreakPreview" zoomScale="145" zoomScaleNormal="100" zoomScaleSheetLayoutView="145" workbookViewId="0"/>
  </sheetViews>
  <sheetFormatPr defaultColWidth="9.140625" defaultRowHeight="15" x14ac:dyDescent="0.25"/>
  <cols>
    <col min="1" max="1" width="4.42578125" style="42" customWidth="1"/>
    <col min="2" max="2" width="7.5703125" style="59" customWidth="1"/>
    <col min="3" max="3" width="40.5703125" style="58" bestFit="1" customWidth="1"/>
    <col min="4" max="4" width="7.42578125" style="42" customWidth="1"/>
    <col min="5" max="5" width="12.42578125" style="42" customWidth="1"/>
    <col min="6" max="6" width="7.42578125" style="42" customWidth="1"/>
    <col min="7" max="10" width="8" style="42" customWidth="1"/>
    <col min="11" max="11" width="9.140625" style="24"/>
    <col min="12" max="16384" width="9.140625" style="56"/>
  </cols>
  <sheetData>
    <row r="1" spans="1:12" customFormat="1" x14ac:dyDescent="0.25">
      <c r="B1" s="1"/>
      <c r="C1" s="2" t="s">
        <v>0</v>
      </c>
      <c r="D1" s="2"/>
      <c r="E1" s="2"/>
      <c r="F1" s="3"/>
      <c r="G1" s="4" t="s">
        <v>1</v>
      </c>
      <c r="H1" s="4"/>
      <c r="I1" s="4"/>
      <c r="J1" s="4"/>
      <c r="K1" s="5"/>
      <c r="L1" t="str">
        <f>_xlfn.XLOOKUP(C3,[1]notes!A:A,[1]notes!B:B)</f>
        <v>BAN</v>
      </c>
    </row>
    <row r="2" spans="1:12" customFormat="1" x14ac:dyDescent="0.25">
      <c r="B2" s="1"/>
      <c r="C2" s="2" t="s">
        <v>2</v>
      </c>
      <c r="D2" s="2"/>
      <c r="E2" s="2"/>
      <c r="F2" s="3"/>
      <c r="G2" s="6" t="s">
        <v>3</v>
      </c>
      <c r="H2" s="6"/>
      <c r="I2" s="6"/>
      <c r="J2" s="6"/>
      <c r="K2" s="5"/>
    </row>
    <row r="3" spans="1:12" customFormat="1" x14ac:dyDescent="0.25">
      <c r="B3" s="1"/>
      <c r="C3" s="7" t="s">
        <v>4</v>
      </c>
      <c r="D3" s="7"/>
      <c r="E3" s="7"/>
      <c r="F3" s="3"/>
      <c r="G3" s="3"/>
      <c r="H3" s="3"/>
      <c r="I3" s="3"/>
      <c r="J3" s="3"/>
      <c r="K3" s="5"/>
    </row>
    <row r="4" spans="1:12" customFormat="1" x14ac:dyDescent="0.25">
      <c r="A4" s="8"/>
      <c r="B4" s="9"/>
      <c r="C4" s="10">
        <f>_xlfn.XLOOKUP(C3,[1]notes!A:A,[1]notes!G:G)</f>
        <v>60410600</v>
      </c>
      <c r="D4" s="11"/>
      <c r="E4" s="11"/>
      <c r="F4" s="12"/>
      <c r="G4" s="13" t="s">
        <v>5</v>
      </c>
      <c r="H4" s="13"/>
      <c r="I4" s="13"/>
      <c r="J4" s="13"/>
      <c r="K4" s="5"/>
    </row>
    <row r="5" spans="1:12" s="20" customFormat="1" ht="15" customHeight="1" x14ac:dyDescent="0.25">
      <c r="A5" s="14" t="s">
        <v>6</v>
      </c>
      <c r="B5" s="14" t="s">
        <v>7</v>
      </c>
      <c r="C5" s="14" t="s">
        <v>8</v>
      </c>
      <c r="D5" s="15" t="s">
        <v>9</v>
      </c>
      <c r="E5" s="16"/>
      <c r="F5" s="17"/>
      <c r="G5" s="14" t="s">
        <v>10</v>
      </c>
      <c r="H5" s="14" t="s">
        <v>11</v>
      </c>
      <c r="I5" s="14" t="s">
        <v>12</v>
      </c>
      <c r="J5" s="18" t="s">
        <v>13</v>
      </c>
      <c r="K5" s="19"/>
    </row>
    <row r="6" spans="1:12" s="25" customFormat="1" ht="29.25" customHeight="1" x14ac:dyDescent="0.25">
      <c r="A6" s="21"/>
      <c r="B6" s="21"/>
      <c r="C6" s="21"/>
      <c r="D6" s="22" t="s">
        <v>14</v>
      </c>
      <c r="E6" s="22" t="s">
        <v>15</v>
      </c>
      <c r="F6" s="22" t="s">
        <v>16</v>
      </c>
      <c r="G6" s="21"/>
      <c r="H6" s="21"/>
      <c r="I6" s="21"/>
      <c r="J6" s="23"/>
      <c r="K6" s="24"/>
    </row>
    <row r="7" spans="1:12" s="25" customFormat="1" x14ac:dyDescent="0.25">
      <c r="A7" s="26" t="s">
        <v>17</v>
      </c>
      <c r="B7" s="27"/>
      <c r="C7" s="27"/>
      <c r="D7" s="27"/>
      <c r="E7" s="27"/>
      <c r="F7" s="27"/>
      <c r="G7" s="27"/>
      <c r="H7" s="27"/>
      <c r="I7" s="27"/>
      <c r="J7" s="28"/>
      <c r="K7" s="24"/>
    </row>
    <row r="8" spans="1:12" s="25" customFormat="1" x14ac:dyDescent="0.25">
      <c r="A8" s="29" t="s">
        <v>18</v>
      </c>
      <c r="B8" s="30"/>
      <c r="C8" s="30"/>
      <c r="D8" s="30"/>
      <c r="E8" s="30"/>
      <c r="F8" s="30"/>
      <c r="G8" s="30"/>
      <c r="H8" s="30"/>
      <c r="I8" s="30"/>
      <c r="J8" s="31"/>
      <c r="K8" s="24"/>
    </row>
    <row r="9" spans="1:12" s="25" customFormat="1" x14ac:dyDescent="0.25">
      <c r="A9" s="32" t="s">
        <v>19</v>
      </c>
      <c r="B9" s="33"/>
      <c r="C9" s="33"/>
      <c r="D9" s="33"/>
      <c r="E9" s="33"/>
      <c r="F9" s="33"/>
      <c r="G9" s="33"/>
      <c r="H9" s="33"/>
      <c r="I9" s="33"/>
      <c r="J9" s="34"/>
      <c r="K9" s="24"/>
    </row>
    <row r="10" spans="1:12" s="25" customFormat="1" x14ac:dyDescent="0.25">
      <c r="A10" s="35">
        <f>SUBTOTAL(103,$C$10:C10)</f>
        <v>1</v>
      </c>
      <c r="B10" s="36" t="str">
        <f>CONCATENATE($L$1,A10)</f>
        <v>BAN1</v>
      </c>
      <c r="C10" s="37" t="s">
        <v>20</v>
      </c>
      <c r="D10" s="38">
        <v>15</v>
      </c>
      <c r="E10" s="38">
        <v>15</v>
      </c>
      <c r="F10" s="35">
        <f>D10+E10</f>
        <v>30</v>
      </c>
      <c r="G10" s="35">
        <f>F10*2</f>
        <v>60</v>
      </c>
      <c r="H10" s="35">
        <f>F10+G10</f>
        <v>90</v>
      </c>
      <c r="I10" s="38">
        <f>F10/15</f>
        <v>2</v>
      </c>
      <c r="J10" s="35">
        <f>I10*1.5</f>
        <v>3</v>
      </c>
      <c r="K10" s="24"/>
    </row>
    <row r="11" spans="1:12" s="25" customFormat="1" x14ac:dyDescent="0.25">
      <c r="A11" s="35">
        <f>SUBTOTAL(103,$C$10:C11)</f>
        <v>2</v>
      </c>
      <c r="B11" s="36" t="str">
        <f t="shared" ref="B11:B15" si="0">CONCATENATE($L$1,A11)</f>
        <v>BAN2</v>
      </c>
      <c r="C11" s="37" t="s">
        <v>21</v>
      </c>
      <c r="D11" s="38">
        <v>0</v>
      </c>
      <c r="E11" s="38">
        <v>60</v>
      </c>
      <c r="F11" s="35">
        <f t="shared" ref="F11:F62" si="1">D11+E11</f>
        <v>60</v>
      </c>
      <c r="G11" s="35">
        <f t="shared" ref="G11:G92" si="2">F11*2</f>
        <v>120</v>
      </c>
      <c r="H11" s="35">
        <f t="shared" ref="H11:H75" si="3">F11+G11</f>
        <v>180</v>
      </c>
      <c r="I11" s="38">
        <f t="shared" ref="I11:I75" si="4">F11/15</f>
        <v>4</v>
      </c>
      <c r="J11" s="35">
        <f t="shared" ref="J11:J15" si="5">I11*1.5</f>
        <v>6</v>
      </c>
      <c r="K11" s="24"/>
    </row>
    <row r="12" spans="1:12" s="25" customFormat="1" x14ac:dyDescent="0.25">
      <c r="A12" s="35">
        <f>SUBTOTAL(103,$C$10:C12)</f>
        <v>3</v>
      </c>
      <c r="B12" s="36" t="str">
        <f t="shared" si="0"/>
        <v>BAN3</v>
      </c>
      <c r="C12" s="37" t="s">
        <v>22</v>
      </c>
      <c r="D12" s="38">
        <v>15</v>
      </c>
      <c r="E12" s="38">
        <v>15</v>
      </c>
      <c r="F12" s="35">
        <f t="shared" si="1"/>
        <v>30</v>
      </c>
      <c r="G12" s="35">
        <f t="shared" si="2"/>
        <v>60</v>
      </c>
      <c r="H12" s="35">
        <f t="shared" si="3"/>
        <v>90</v>
      </c>
      <c r="I12" s="38">
        <f t="shared" si="4"/>
        <v>2</v>
      </c>
      <c r="J12" s="35">
        <f t="shared" si="5"/>
        <v>3</v>
      </c>
      <c r="K12" s="24"/>
    </row>
    <row r="13" spans="1:12" s="25" customFormat="1" x14ac:dyDescent="0.25">
      <c r="A13" s="35">
        <f>SUBTOTAL(103,$C$10:C13)</f>
        <v>4</v>
      </c>
      <c r="B13" s="36" t="str">
        <f t="shared" si="0"/>
        <v>BAN4</v>
      </c>
      <c r="C13" s="37" t="s">
        <v>23</v>
      </c>
      <c r="D13" s="38">
        <v>30</v>
      </c>
      <c r="E13" s="38">
        <v>30</v>
      </c>
      <c r="F13" s="35">
        <f t="shared" si="1"/>
        <v>60</v>
      </c>
      <c r="G13" s="35">
        <f t="shared" si="2"/>
        <v>120</v>
      </c>
      <c r="H13" s="35">
        <f t="shared" si="3"/>
        <v>180</v>
      </c>
      <c r="I13" s="38">
        <f t="shared" si="4"/>
        <v>4</v>
      </c>
      <c r="J13" s="35">
        <f t="shared" si="5"/>
        <v>6</v>
      </c>
      <c r="K13" s="24"/>
    </row>
    <row r="14" spans="1:12" s="25" customFormat="1" x14ac:dyDescent="0.25">
      <c r="A14" s="35">
        <f>SUBTOTAL(103,$C$10:C14)</f>
        <v>5</v>
      </c>
      <c r="B14" s="36" t="str">
        <f t="shared" si="0"/>
        <v>BAN5</v>
      </c>
      <c r="C14" s="37" t="s">
        <v>24</v>
      </c>
      <c r="D14" s="38">
        <v>30</v>
      </c>
      <c r="E14" s="38">
        <v>15</v>
      </c>
      <c r="F14" s="35">
        <f t="shared" si="1"/>
        <v>45</v>
      </c>
      <c r="G14" s="35">
        <f t="shared" si="2"/>
        <v>90</v>
      </c>
      <c r="H14" s="35">
        <f t="shared" si="3"/>
        <v>135</v>
      </c>
      <c r="I14" s="38">
        <f t="shared" si="4"/>
        <v>3</v>
      </c>
      <c r="J14" s="35">
        <f t="shared" si="5"/>
        <v>4.5</v>
      </c>
      <c r="K14" s="24"/>
    </row>
    <row r="15" spans="1:12" s="25" customFormat="1" x14ac:dyDescent="0.25">
      <c r="A15" s="35">
        <f>SUBTOTAL(103,$C$10:C15)</f>
        <v>6</v>
      </c>
      <c r="B15" s="36" t="str">
        <f t="shared" si="0"/>
        <v>BAN6</v>
      </c>
      <c r="C15" s="37" t="s">
        <v>25</v>
      </c>
      <c r="D15" s="38">
        <v>0</v>
      </c>
      <c r="E15" s="38">
        <v>30</v>
      </c>
      <c r="F15" s="35">
        <f t="shared" si="1"/>
        <v>30</v>
      </c>
      <c r="G15" s="35">
        <f t="shared" si="2"/>
        <v>60</v>
      </c>
      <c r="H15" s="35">
        <f t="shared" si="3"/>
        <v>90</v>
      </c>
      <c r="I15" s="38">
        <f t="shared" si="4"/>
        <v>2</v>
      </c>
      <c r="J15" s="35">
        <f t="shared" si="5"/>
        <v>3</v>
      </c>
      <c r="K15" s="24"/>
    </row>
    <row r="16" spans="1:12" s="25" customFormat="1" x14ac:dyDescent="0.25">
      <c r="A16" s="32" t="s">
        <v>26</v>
      </c>
      <c r="B16" s="33"/>
      <c r="C16" s="33"/>
      <c r="D16" s="33"/>
      <c r="E16" s="33"/>
      <c r="F16" s="33"/>
      <c r="G16" s="33"/>
      <c r="H16" s="33"/>
      <c r="I16" s="33"/>
      <c r="J16" s="34"/>
      <c r="K16" s="24"/>
    </row>
    <row r="17" spans="1:11" s="25" customFormat="1" x14ac:dyDescent="0.25">
      <c r="A17" s="35">
        <f>SUBTOTAL(103,$C$10:C17)</f>
        <v>7</v>
      </c>
      <c r="B17" s="36" t="str">
        <f t="shared" ref="B17:B23" si="6">CONCATENATE($L$1,A17)</f>
        <v>BAN7</v>
      </c>
      <c r="C17" s="37" t="s">
        <v>27</v>
      </c>
      <c r="D17" s="35">
        <v>0</v>
      </c>
      <c r="E17" s="35">
        <v>45</v>
      </c>
      <c r="F17" s="35">
        <f t="shared" si="1"/>
        <v>45</v>
      </c>
      <c r="G17" s="35">
        <f t="shared" si="2"/>
        <v>90</v>
      </c>
      <c r="H17" s="35">
        <f t="shared" si="3"/>
        <v>135</v>
      </c>
      <c r="I17" s="38">
        <f t="shared" si="4"/>
        <v>3</v>
      </c>
      <c r="J17" s="35">
        <f t="shared" ref="J17:J23" si="7">I17*1.5</f>
        <v>4.5</v>
      </c>
      <c r="K17" s="24"/>
    </row>
    <row r="18" spans="1:11" s="25" customFormat="1" x14ac:dyDescent="0.25">
      <c r="A18" s="35">
        <f>SUBTOTAL(103,$C$10:C18)</f>
        <v>8</v>
      </c>
      <c r="B18" s="36" t="str">
        <f t="shared" si="6"/>
        <v>BAN8</v>
      </c>
      <c r="C18" s="37" t="s">
        <v>28</v>
      </c>
      <c r="D18" s="35">
        <v>0</v>
      </c>
      <c r="E18" s="35">
        <v>45</v>
      </c>
      <c r="F18" s="35">
        <f t="shared" si="1"/>
        <v>45</v>
      </c>
      <c r="G18" s="35">
        <f t="shared" si="2"/>
        <v>90</v>
      </c>
      <c r="H18" s="35">
        <f t="shared" si="3"/>
        <v>135</v>
      </c>
      <c r="I18" s="38">
        <f t="shared" si="4"/>
        <v>3</v>
      </c>
      <c r="J18" s="35">
        <f t="shared" si="7"/>
        <v>4.5</v>
      </c>
      <c r="K18" s="24"/>
    </row>
    <row r="19" spans="1:11" s="25" customFormat="1" x14ac:dyDescent="0.25">
      <c r="A19" s="35">
        <f>SUBTOTAL(103,$C$10:C19)</f>
        <v>9</v>
      </c>
      <c r="B19" s="36" t="str">
        <f t="shared" si="6"/>
        <v>BAN9</v>
      </c>
      <c r="C19" s="37" t="s">
        <v>29</v>
      </c>
      <c r="D19" s="35">
        <v>0</v>
      </c>
      <c r="E19" s="35">
        <v>45</v>
      </c>
      <c r="F19" s="35">
        <f t="shared" si="1"/>
        <v>45</v>
      </c>
      <c r="G19" s="35">
        <f t="shared" si="2"/>
        <v>90</v>
      </c>
      <c r="H19" s="35">
        <f t="shared" si="3"/>
        <v>135</v>
      </c>
      <c r="I19" s="38">
        <f t="shared" si="4"/>
        <v>3</v>
      </c>
      <c r="J19" s="35">
        <f t="shared" si="7"/>
        <v>4.5</v>
      </c>
      <c r="K19" s="24"/>
    </row>
    <row r="20" spans="1:11" s="25" customFormat="1" x14ac:dyDescent="0.25">
      <c r="A20" s="35">
        <f>SUBTOTAL(103,$C$10:C20)</f>
        <v>10</v>
      </c>
      <c r="B20" s="36" t="str">
        <f t="shared" si="6"/>
        <v>BAN10</v>
      </c>
      <c r="C20" s="37" t="s">
        <v>30</v>
      </c>
      <c r="D20" s="35">
        <v>0</v>
      </c>
      <c r="E20" s="35">
        <v>45</v>
      </c>
      <c r="F20" s="35">
        <f t="shared" si="1"/>
        <v>45</v>
      </c>
      <c r="G20" s="35">
        <f t="shared" si="2"/>
        <v>90</v>
      </c>
      <c r="H20" s="35">
        <f t="shared" si="3"/>
        <v>135</v>
      </c>
      <c r="I20" s="38">
        <f t="shared" si="4"/>
        <v>3</v>
      </c>
      <c r="J20" s="35">
        <f t="shared" si="7"/>
        <v>4.5</v>
      </c>
      <c r="K20" s="24"/>
    </row>
    <row r="21" spans="1:11" s="25" customFormat="1" x14ac:dyDescent="0.25">
      <c r="A21" s="35">
        <f>SUBTOTAL(103,$C$10:C21)</f>
        <v>11</v>
      </c>
      <c r="B21" s="36" t="str">
        <f t="shared" si="6"/>
        <v>BAN11</v>
      </c>
      <c r="C21" s="37" t="s">
        <v>31</v>
      </c>
      <c r="D21" s="35">
        <v>0</v>
      </c>
      <c r="E21" s="35">
        <v>45</v>
      </c>
      <c r="F21" s="35">
        <f t="shared" si="1"/>
        <v>45</v>
      </c>
      <c r="G21" s="35">
        <f t="shared" si="2"/>
        <v>90</v>
      </c>
      <c r="H21" s="35">
        <f t="shared" si="3"/>
        <v>135</v>
      </c>
      <c r="I21" s="38">
        <f t="shared" si="4"/>
        <v>3</v>
      </c>
      <c r="J21" s="35">
        <f t="shared" si="7"/>
        <v>4.5</v>
      </c>
      <c r="K21" s="24"/>
    </row>
    <row r="22" spans="1:11" s="25" customFormat="1" x14ac:dyDescent="0.25">
      <c r="A22" s="35">
        <f>SUBTOTAL(103,$C$10:C22)</f>
        <v>12</v>
      </c>
      <c r="B22" s="36" t="str">
        <f t="shared" si="6"/>
        <v>BAN12</v>
      </c>
      <c r="C22" s="37" t="s">
        <v>32</v>
      </c>
      <c r="D22" s="35">
        <v>0</v>
      </c>
      <c r="E22" s="35">
        <v>45</v>
      </c>
      <c r="F22" s="35">
        <f t="shared" si="1"/>
        <v>45</v>
      </c>
      <c r="G22" s="35">
        <f t="shared" si="2"/>
        <v>90</v>
      </c>
      <c r="H22" s="35">
        <f t="shared" si="3"/>
        <v>135</v>
      </c>
      <c r="I22" s="38">
        <f t="shared" si="4"/>
        <v>3</v>
      </c>
      <c r="J22" s="35">
        <f t="shared" si="7"/>
        <v>4.5</v>
      </c>
      <c r="K22" s="24"/>
    </row>
    <row r="23" spans="1:11" s="25" customFormat="1" x14ac:dyDescent="0.25">
      <c r="A23" s="35">
        <f>SUBTOTAL(103,$C$10:C23)</f>
        <v>13</v>
      </c>
      <c r="B23" s="36" t="str">
        <f t="shared" si="6"/>
        <v>BAN13</v>
      </c>
      <c r="C23" s="37" t="s">
        <v>33</v>
      </c>
      <c r="D23" s="35">
        <v>0</v>
      </c>
      <c r="E23" s="35">
        <v>45</v>
      </c>
      <c r="F23" s="35">
        <f t="shared" si="1"/>
        <v>45</v>
      </c>
      <c r="G23" s="35">
        <f t="shared" si="2"/>
        <v>90</v>
      </c>
      <c r="H23" s="35">
        <f t="shared" si="3"/>
        <v>135</v>
      </c>
      <c r="I23" s="38">
        <f t="shared" si="4"/>
        <v>3</v>
      </c>
      <c r="J23" s="35">
        <f t="shared" si="7"/>
        <v>4.5</v>
      </c>
      <c r="K23" s="24"/>
    </row>
    <row r="24" spans="1:11" s="25" customFormat="1" x14ac:dyDescent="0.25">
      <c r="A24" s="32" t="s">
        <v>34</v>
      </c>
      <c r="B24" s="33"/>
      <c r="C24" s="34"/>
      <c r="D24" s="39">
        <f>SUM(D10:D15)+D17</f>
        <v>90</v>
      </c>
      <c r="E24" s="39">
        <f t="shared" ref="E24:J24" si="8">SUM(E10:E15)+E17</f>
        <v>210</v>
      </c>
      <c r="F24" s="39">
        <f t="shared" si="8"/>
        <v>300</v>
      </c>
      <c r="G24" s="39">
        <f t="shared" si="8"/>
        <v>600</v>
      </c>
      <c r="H24" s="39">
        <f t="shared" si="8"/>
        <v>900</v>
      </c>
      <c r="I24" s="39">
        <f t="shared" si="8"/>
        <v>20</v>
      </c>
      <c r="J24" s="39">
        <f t="shared" si="8"/>
        <v>30</v>
      </c>
      <c r="K24" s="24"/>
    </row>
    <row r="25" spans="1:11" s="25" customFormat="1" x14ac:dyDescent="0.25">
      <c r="A25" s="29" t="s">
        <v>35</v>
      </c>
      <c r="B25" s="30"/>
      <c r="C25" s="30"/>
      <c r="D25" s="30"/>
      <c r="E25" s="30"/>
      <c r="F25" s="30"/>
      <c r="G25" s="30"/>
      <c r="H25" s="30"/>
      <c r="I25" s="30"/>
      <c r="J25" s="31"/>
      <c r="K25" s="24"/>
    </row>
    <row r="26" spans="1:11" s="25" customFormat="1" x14ac:dyDescent="0.25">
      <c r="A26" s="32" t="s">
        <v>19</v>
      </c>
      <c r="B26" s="33"/>
      <c r="C26" s="33"/>
      <c r="D26" s="33"/>
      <c r="E26" s="33"/>
      <c r="F26" s="33"/>
      <c r="G26" s="33"/>
      <c r="H26" s="33"/>
      <c r="I26" s="33"/>
      <c r="J26" s="34"/>
      <c r="K26" s="24"/>
    </row>
    <row r="27" spans="1:11" s="25" customFormat="1" x14ac:dyDescent="0.25">
      <c r="A27" s="35">
        <f>SUBTOTAL(103,$C$10:C27)</f>
        <v>14</v>
      </c>
      <c r="B27" s="36" t="str">
        <f t="shared" ref="B27:B32" si="9">CONCATENATE($L$1,A27)</f>
        <v>BAN14</v>
      </c>
      <c r="C27" s="37" t="s">
        <v>36</v>
      </c>
      <c r="D27" s="38">
        <v>15</v>
      </c>
      <c r="E27" s="38">
        <v>15</v>
      </c>
      <c r="F27" s="35">
        <f t="shared" si="1"/>
        <v>30</v>
      </c>
      <c r="G27" s="35">
        <f t="shared" si="2"/>
        <v>60</v>
      </c>
      <c r="H27" s="35">
        <f t="shared" si="3"/>
        <v>90</v>
      </c>
      <c r="I27" s="38">
        <f t="shared" si="4"/>
        <v>2</v>
      </c>
      <c r="J27" s="35">
        <f>I27*1.5</f>
        <v>3</v>
      </c>
      <c r="K27" s="24"/>
    </row>
    <row r="28" spans="1:11" s="25" customFormat="1" x14ac:dyDescent="0.25">
      <c r="A28" s="35">
        <f>SUBTOTAL(103,$C$10:C28)</f>
        <v>15</v>
      </c>
      <c r="B28" s="36" t="str">
        <f t="shared" si="9"/>
        <v>BAN15</v>
      </c>
      <c r="C28" s="37" t="s">
        <v>37</v>
      </c>
      <c r="D28" s="38">
        <v>0</v>
      </c>
      <c r="E28" s="38">
        <v>60</v>
      </c>
      <c r="F28" s="35">
        <f t="shared" si="1"/>
        <v>60</v>
      </c>
      <c r="G28" s="35">
        <f t="shared" si="2"/>
        <v>120</v>
      </c>
      <c r="H28" s="35">
        <f t="shared" si="3"/>
        <v>180</v>
      </c>
      <c r="I28" s="38">
        <f t="shared" si="4"/>
        <v>4</v>
      </c>
      <c r="J28" s="35">
        <f t="shared" ref="J28:J32" si="10">I28*1.5</f>
        <v>6</v>
      </c>
      <c r="K28" s="24"/>
    </row>
    <row r="29" spans="1:11" s="25" customFormat="1" x14ac:dyDescent="0.25">
      <c r="A29" s="35">
        <f>SUBTOTAL(103,$C$10:C29)</f>
        <v>16</v>
      </c>
      <c r="B29" s="36" t="str">
        <f t="shared" si="9"/>
        <v>BAN16</v>
      </c>
      <c r="C29" s="37" t="s">
        <v>38</v>
      </c>
      <c r="D29" s="38">
        <v>30</v>
      </c>
      <c r="E29" s="38">
        <v>30</v>
      </c>
      <c r="F29" s="35">
        <f t="shared" si="1"/>
        <v>60</v>
      </c>
      <c r="G29" s="35">
        <f t="shared" si="2"/>
        <v>120</v>
      </c>
      <c r="H29" s="35">
        <f t="shared" si="3"/>
        <v>180</v>
      </c>
      <c r="I29" s="38">
        <f t="shared" si="4"/>
        <v>4</v>
      </c>
      <c r="J29" s="35">
        <f t="shared" si="10"/>
        <v>6</v>
      </c>
      <c r="K29" s="24"/>
    </row>
    <row r="30" spans="1:11" s="25" customFormat="1" x14ac:dyDescent="0.25">
      <c r="A30" s="35">
        <f>SUBTOTAL(103,$C$10:C30)</f>
        <v>17</v>
      </c>
      <c r="B30" s="36" t="str">
        <f t="shared" si="9"/>
        <v>BAN17</v>
      </c>
      <c r="C30" s="37" t="s">
        <v>39</v>
      </c>
      <c r="D30" s="38">
        <v>30</v>
      </c>
      <c r="E30" s="38">
        <v>15</v>
      </c>
      <c r="F30" s="35">
        <f t="shared" si="1"/>
        <v>45</v>
      </c>
      <c r="G30" s="35">
        <f t="shared" si="2"/>
        <v>90</v>
      </c>
      <c r="H30" s="35">
        <f t="shared" si="3"/>
        <v>135</v>
      </c>
      <c r="I30" s="38">
        <f t="shared" si="4"/>
        <v>3</v>
      </c>
      <c r="J30" s="35">
        <f t="shared" si="10"/>
        <v>4.5</v>
      </c>
      <c r="K30" s="24"/>
    </row>
    <row r="31" spans="1:11" s="25" customFormat="1" x14ac:dyDescent="0.25">
      <c r="A31" s="35">
        <f>SUBTOTAL(103,$C$10:C31)</f>
        <v>18</v>
      </c>
      <c r="B31" s="36" t="str">
        <f t="shared" si="9"/>
        <v>BAN18</v>
      </c>
      <c r="C31" s="37" t="s">
        <v>40</v>
      </c>
      <c r="D31" s="38">
        <v>0</v>
      </c>
      <c r="E31" s="38">
        <v>30</v>
      </c>
      <c r="F31" s="35">
        <f t="shared" si="1"/>
        <v>30</v>
      </c>
      <c r="G31" s="35">
        <f t="shared" si="2"/>
        <v>60</v>
      </c>
      <c r="H31" s="35">
        <f t="shared" si="3"/>
        <v>90</v>
      </c>
      <c r="I31" s="38">
        <f t="shared" si="4"/>
        <v>2</v>
      </c>
      <c r="J31" s="35">
        <f t="shared" si="10"/>
        <v>3</v>
      </c>
      <c r="K31" s="24"/>
    </row>
    <row r="32" spans="1:11" s="25" customFormat="1" x14ac:dyDescent="0.25">
      <c r="A32" s="35">
        <f>SUBTOTAL(103,$C$10:C32)</f>
        <v>19</v>
      </c>
      <c r="B32" s="36" t="str">
        <f t="shared" si="9"/>
        <v>BAN19</v>
      </c>
      <c r="C32" s="37" t="s">
        <v>41</v>
      </c>
      <c r="D32" s="35">
        <v>30</v>
      </c>
      <c r="E32" s="35">
        <v>15</v>
      </c>
      <c r="F32" s="35">
        <f t="shared" si="1"/>
        <v>45</v>
      </c>
      <c r="G32" s="35">
        <f t="shared" si="2"/>
        <v>90</v>
      </c>
      <c r="H32" s="35">
        <f t="shared" si="3"/>
        <v>135</v>
      </c>
      <c r="I32" s="38">
        <f t="shared" si="4"/>
        <v>3</v>
      </c>
      <c r="J32" s="35">
        <f t="shared" si="10"/>
        <v>4.5</v>
      </c>
      <c r="K32" s="24"/>
    </row>
    <row r="33" spans="1:11" s="25" customFormat="1" x14ac:dyDescent="0.25">
      <c r="A33" s="32" t="s">
        <v>26</v>
      </c>
      <c r="B33" s="33"/>
      <c r="C33" s="33"/>
      <c r="D33" s="33"/>
      <c r="E33" s="33"/>
      <c r="F33" s="33"/>
      <c r="G33" s="33"/>
      <c r="H33" s="33"/>
      <c r="I33" s="33"/>
      <c r="J33" s="34"/>
      <c r="K33" s="24"/>
    </row>
    <row r="34" spans="1:11" s="25" customFormat="1" x14ac:dyDescent="0.25">
      <c r="A34" s="35">
        <f>SUBTOTAL(103,$C$10:C34)</f>
        <v>20</v>
      </c>
      <c r="B34" s="36" t="str">
        <f t="shared" ref="B34:B40" si="11">CONCATENATE($L$1,A34)</f>
        <v>BAN20</v>
      </c>
      <c r="C34" s="37" t="s">
        <v>42</v>
      </c>
      <c r="D34" s="35">
        <v>0</v>
      </c>
      <c r="E34" s="35">
        <v>45</v>
      </c>
      <c r="F34" s="35">
        <f t="shared" si="1"/>
        <v>45</v>
      </c>
      <c r="G34" s="35">
        <f t="shared" si="2"/>
        <v>90</v>
      </c>
      <c r="H34" s="35">
        <f t="shared" si="3"/>
        <v>135</v>
      </c>
      <c r="I34" s="35">
        <f t="shared" si="4"/>
        <v>3</v>
      </c>
      <c r="J34" s="35">
        <f t="shared" ref="J34:J40" si="12">I34*1.5</f>
        <v>4.5</v>
      </c>
      <c r="K34" s="24"/>
    </row>
    <row r="35" spans="1:11" s="25" customFormat="1" x14ac:dyDescent="0.25">
      <c r="A35" s="35">
        <f>SUBTOTAL(103,$C$10:C35)</f>
        <v>21</v>
      </c>
      <c r="B35" s="36" t="str">
        <f t="shared" si="11"/>
        <v>BAN21</v>
      </c>
      <c r="C35" s="37" t="s">
        <v>43</v>
      </c>
      <c r="D35" s="35">
        <v>0</v>
      </c>
      <c r="E35" s="35">
        <v>45</v>
      </c>
      <c r="F35" s="35">
        <f t="shared" si="1"/>
        <v>45</v>
      </c>
      <c r="G35" s="35">
        <f t="shared" si="2"/>
        <v>90</v>
      </c>
      <c r="H35" s="35">
        <f t="shared" si="3"/>
        <v>135</v>
      </c>
      <c r="I35" s="38">
        <f t="shared" si="4"/>
        <v>3</v>
      </c>
      <c r="J35" s="35">
        <f t="shared" si="12"/>
        <v>4.5</v>
      </c>
      <c r="K35" s="24"/>
    </row>
    <row r="36" spans="1:11" s="25" customFormat="1" x14ac:dyDescent="0.25">
      <c r="A36" s="35">
        <f>SUBTOTAL(103,$C$10:C36)</f>
        <v>22</v>
      </c>
      <c r="B36" s="36" t="str">
        <f t="shared" si="11"/>
        <v>BAN22</v>
      </c>
      <c r="C36" s="37" t="s">
        <v>44</v>
      </c>
      <c r="D36" s="35">
        <v>0</v>
      </c>
      <c r="E36" s="35">
        <v>45</v>
      </c>
      <c r="F36" s="35">
        <f t="shared" si="1"/>
        <v>45</v>
      </c>
      <c r="G36" s="35">
        <f t="shared" si="2"/>
        <v>90</v>
      </c>
      <c r="H36" s="35">
        <f t="shared" si="3"/>
        <v>135</v>
      </c>
      <c r="I36" s="38">
        <f t="shared" si="4"/>
        <v>3</v>
      </c>
      <c r="J36" s="35">
        <f t="shared" si="12"/>
        <v>4.5</v>
      </c>
      <c r="K36" s="24"/>
    </row>
    <row r="37" spans="1:11" s="25" customFormat="1" x14ac:dyDescent="0.25">
      <c r="A37" s="35">
        <f>SUBTOTAL(103,$C$10:C37)</f>
        <v>23</v>
      </c>
      <c r="B37" s="36" t="str">
        <f t="shared" si="11"/>
        <v>BAN23</v>
      </c>
      <c r="C37" s="37" t="s">
        <v>45</v>
      </c>
      <c r="D37" s="35">
        <v>0</v>
      </c>
      <c r="E37" s="35">
        <v>45</v>
      </c>
      <c r="F37" s="35">
        <f t="shared" si="1"/>
        <v>45</v>
      </c>
      <c r="G37" s="35">
        <f t="shared" si="2"/>
        <v>90</v>
      </c>
      <c r="H37" s="35">
        <f t="shared" si="3"/>
        <v>135</v>
      </c>
      <c r="I37" s="38">
        <f t="shared" si="4"/>
        <v>3</v>
      </c>
      <c r="J37" s="35">
        <f t="shared" si="12"/>
        <v>4.5</v>
      </c>
      <c r="K37" s="24"/>
    </row>
    <row r="38" spans="1:11" s="25" customFormat="1" x14ac:dyDescent="0.25">
      <c r="A38" s="35">
        <f>SUBTOTAL(103,$C$10:C38)</f>
        <v>24</v>
      </c>
      <c r="B38" s="36" t="str">
        <f t="shared" si="11"/>
        <v>BAN24</v>
      </c>
      <c r="C38" s="37" t="s">
        <v>46</v>
      </c>
      <c r="D38" s="35">
        <v>0</v>
      </c>
      <c r="E38" s="35">
        <v>45</v>
      </c>
      <c r="F38" s="35">
        <f t="shared" si="1"/>
        <v>45</v>
      </c>
      <c r="G38" s="35">
        <f t="shared" si="2"/>
        <v>90</v>
      </c>
      <c r="H38" s="35">
        <f t="shared" si="3"/>
        <v>135</v>
      </c>
      <c r="I38" s="38">
        <f t="shared" si="4"/>
        <v>3</v>
      </c>
      <c r="J38" s="35">
        <f t="shared" si="12"/>
        <v>4.5</v>
      </c>
      <c r="K38" s="24"/>
    </row>
    <row r="39" spans="1:11" s="25" customFormat="1" x14ac:dyDescent="0.25">
      <c r="A39" s="35">
        <f>SUBTOTAL(103,$C$10:C39)</f>
        <v>25</v>
      </c>
      <c r="B39" s="36" t="str">
        <f t="shared" si="11"/>
        <v>BAN25</v>
      </c>
      <c r="C39" s="37" t="s">
        <v>47</v>
      </c>
      <c r="D39" s="35">
        <v>0</v>
      </c>
      <c r="E39" s="35">
        <v>45</v>
      </c>
      <c r="F39" s="35">
        <f t="shared" si="1"/>
        <v>45</v>
      </c>
      <c r="G39" s="35">
        <f t="shared" si="2"/>
        <v>90</v>
      </c>
      <c r="H39" s="35">
        <f t="shared" si="3"/>
        <v>135</v>
      </c>
      <c r="I39" s="38">
        <f t="shared" si="4"/>
        <v>3</v>
      </c>
      <c r="J39" s="35">
        <f t="shared" si="12"/>
        <v>4.5</v>
      </c>
      <c r="K39" s="24"/>
    </row>
    <row r="40" spans="1:11" s="25" customFormat="1" x14ac:dyDescent="0.25">
      <c r="A40" s="35">
        <f>SUBTOTAL(103,$C$10:C40)</f>
        <v>26</v>
      </c>
      <c r="B40" s="36" t="str">
        <f t="shared" si="11"/>
        <v>BAN26</v>
      </c>
      <c r="C40" s="37" t="s">
        <v>48</v>
      </c>
      <c r="D40" s="35">
        <v>0</v>
      </c>
      <c r="E40" s="35">
        <v>45</v>
      </c>
      <c r="F40" s="35">
        <f t="shared" si="1"/>
        <v>45</v>
      </c>
      <c r="G40" s="35">
        <f t="shared" si="2"/>
        <v>90</v>
      </c>
      <c r="H40" s="35">
        <f t="shared" si="3"/>
        <v>135</v>
      </c>
      <c r="I40" s="38">
        <f t="shared" si="4"/>
        <v>3</v>
      </c>
      <c r="J40" s="35">
        <f t="shared" si="12"/>
        <v>4.5</v>
      </c>
      <c r="K40" s="24"/>
    </row>
    <row r="41" spans="1:11" s="25" customFormat="1" x14ac:dyDescent="0.25">
      <c r="A41" s="32" t="s">
        <v>49</v>
      </c>
      <c r="B41" s="40"/>
      <c r="C41" s="40"/>
      <c r="D41" s="39">
        <f>SUM(D27:D32)+D34</f>
        <v>105</v>
      </c>
      <c r="E41" s="39">
        <f t="shared" ref="E41:J41" si="13">SUM(E27:E32)+E34</f>
        <v>210</v>
      </c>
      <c r="F41" s="39">
        <f t="shared" si="13"/>
        <v>315</v>
      </c>
      <c r="G41" s="39">
        <f t="shared" si="13"/>
        <v>630</v>
      </c>
      <c r="H41" s="39">
        <f t="shared" si="13"/>
        <v>945</v>
      </c>
      <c r="I41" s="39">
        <f t="shared" si="13"/>
        <v>21</v>
      </c>
      <c r="J41" s="39">
        <f t="shared" si="13"/>
        <v>31.5</v>
      </c>
      <c r="K41" s="24"/>
    </row>
    <row r="42" spans="1:11" s="25" customFormat="1" x14ac:dyDescent="0.25">
      <c r="A42" s="26" t="s">
        <v>50</v>
      </c>
      <c r="B42" s="27"/>
      <c r="C42" s="27"/>
      <c r="D42" s="27"/>
      <c r="E42" s="27"/>
      <c r="F42" s="27"/>
      <c r="G42" s="27"/>
      <c r="H42" s="27"/>
      <c r="I42" s="27"/>
      <c r="J42" s="28"/>
      <c r="K42" s="24"/>
    </row>
    <row r="43" spans="1:11" s="25" customFormat="1" x14ac:dyDescent="0.25">
      <c r="A43" s="29" t="s">
        <v>51</v>
      </c>
      <c r="B43" s="30"/>
      <c r="C43" s="30"/>
      <c r="D43" s="30"/>
      <c r="E43" s="30"/>
      <c r="F43" s="30"/>
      <c r="G43" s="30"/>
      <c r="H43" s="30"/>
      <c r="I43" s="30"/>
      <c r="J43" s="31"/>
      <c r="K43" s="24"/>
    </row>
    <row r="44" spans="1:11" s="25" customFormat="1" x14ac:dyDescent="0.25">
      <c r="A44" s="32" t="s">
        <v>52</v>
      </c>
      <c r="B44" s="33"/>
      <c r="C44" s="33"/>
      <c r="D44" s="33"/>
      <c r="E44" s="33"/>
      <c r="F44" s="33"/>
      <c r="G44" s="33"/>
      <c r="H44" s="33"/>
      <c r="I44" s="33"/>
      <c r="J44" s="34"/>
      <c r="K44" s="24"/>
    </row>
    <row r="45" spans="1:11" s="25" customFormat="1" x14ac:dyDescent="0.25">
      <c r="A45" s="35">
        <f>SUBTOTAL(103,$C$10:C45)</f>
        <v>27</v>
      </c>
      <c r="B45" s="36" t="str">
        <f t="shared" ref="B45:B50" si="14">CONCATENATE($L$1,A45)</f>
        <v>BAN27</v>
      </c>
      <c r="C45" s="37" t="s">
        <v>53</v>
      </c>
      <c r="D45" s="38">
        <v>30</v>
      </c>
      <c r="E45" s="38">
        <v>15</v>
      </c>
      <c r="F45" s="35">
        <f t="shared" si="1"/>
        <v>45</v>
      </c>
      <c r="G45" s="35">
        <f t="shared" si="2"/>
        <v>90</v>
      </c>
      <c r="H45" s="35">
        <f t="shared" si="3"/>
        <v>135</v>
      </c>
      <c r="I45" s="35">
        <f t="shared" si="4"/>
        <v>3</v>
      </c>
      <c r="J45" s="35">
        <f t="shared" ref="J45:J53" si="15">I45*1.5</f>
        <v>4.5</v>
      </c>
      <c r="K45" s="24"/>
    </row>
    <row r="46" spans="1:11" s="25" customFormat="1" x14ac:dyDescent="0.25">
      <c r="A46" s="35">
        <f>SUBTOTAL(103,$C$10:C46)</f>
        <v>28</v>
      </c>
      <c r="B46" s="36" t="str">
        <f t="shared" si="14"/>
        <v>BAN28</v>
      </c>
      <c r="C46" s="37" t="s">
        <v>54</v>
      </c>
      <c r="D46" s="38">
        <v>45</v>
      </c>
      <c r="E46" s="38">
        <v>15</v>
      </c>
      <c r="F46" s="35">
        <f t="shared" si="1"/>
        <v>60</v>
      </c>
      <c r="G46" s="35">
        <f t="shared" si="2"/>
        <v>120</v>
      </c>
      <c r="H46" s="35">
        <f t="shared" si="3"/>
        <v>180</v>
      </c>
      <c r="I46" s="35">
        <f t="shared" si="4"/>
        <v>4</v>
      </c>
      <c r="J46" s="35">
        <f t="shared" si="15"/>
        <v>6</v>
      </c>
      <c r="K46" s="24"/>
    </row>
    <row r="47" spans="1:11" s="25" customFormat="1" x14ac:dyDescent="0.25">
      <c r="A47" s="35">
        <f>SUBTOTAL(103,$C$10:C47)</f>
        <v>29</v>
      </c>
      <c r="B47" s="36" t="str">
        <f t="shared" si="14"/>
        <v>BAN29</v>
      </c>
      <c r="C47" s="37" t="s">
        <v>55</v>
      </c>
      <c r="D47" s="38">
        <v>30</v>
      </c>
      <c r="E47" s="38">
        <v>15</v>
      </c>
      <c r="F47" s="35">
        <f t="shared" si="1"/>
        <v>45</v>
      </c>
      <c r="G47" s="35">
        <f t="shared" si="2"/>
        <v>90</v>
      </c>
      <c r="H47" s="35">
        <f t="shared" si="3"/>
        <v>135</v>
      </c>
      <c r="I47" s="35">
        <f t="shared" si="4"/>
        <v>3</v>
      </c>
      <c r="J47" s="35">
        <f t="shared" si="15"/>
        <v>4.5</v>
      </c>
      <c r="K47" s="24"/>
    </row>
    <row r="48" spans="1:11" s="25" customFormat="1" x14ac:dyDescent="0.25">
      <c r="A48" s="35">
        <f>SUBTOTAL(103,$C$10:C48)</f>
        <v>30</v>
      </c>
      <c r="B48" s="36" t="str">
        <f t="shared" si="14"/>
        <v>BAN30</v>
      </c>
      <c r="C48" s="37" t="s">
        <v>56</v>
      </c>
      <c r="D48" s="38">
        <v>15</v>
      </c>
      <c r="E48" s="38">
        <v>15</v>
      </c>
      <c r="F48" s="35">
        <f t="shared" si="1"/>
        <v>30</v>
      </c>
      <c r="G48" s="35">
        <f t="shared" si="2"/>
        <v>60</v>
      </c>
      <c r="H48" s="35">
        <f t="shared" si="3"/>
        <v>90</v>
      </c>
      <c r="I48" s="35">
        <f t="shared" si="4"/>
        <v>2</v>
      </c>
      <c r="J48" s="35">
        <f t="shared" si="15"/>
        <v>3</v>
      </c>
      <c r="K48" s="24"/>
    </row>
    <row r="49" spans="1:11" s="25" customFormat="1" x14ac:dyDescent="0.25">
      <c r="A49" s="35">
        <f>SUBTOTAL(103,$C$10:C49)</f>
        <v>31</v>
      </c>
      <c r="B49" s="36" t="str">
        <f t="shared" si="14"/>
        <v>BAN31</v>
      </c>
      <c r="C49" s="37" t="s">
        <v>57</v>
      </c>
      <c r="D49" s="38">
        <v>30</v>
      </c>
      <c r="E49" s="38">
        <v>0</v>
      </c>
      <c r="F49" s="35">
        <f t="shared" si="1"/>
        <v>30</v>
      </c>
      <c r="G49" s="35">
        <f t="shared" si="2"/>
        <v>60</v>
      </c>
      <c r="H49" s="35">
        <f t="shared" si="3"/>
        <v>90</v>
      </c>
      <c r="I49" s="35">
        <f t="shared" si="4"/>
        <v>2</v>
      </c>
      <c r="J49" s="35">
        <f t="shared" si="15"/>
        <v>3</v>
      </c>
      <c r="K49" s="24"/>
    </row>
    <row r="50" spans="1:11" s="25" customFormat="1" x14ac:dyDescent="0.25">
      <c r="A50" s="35">
        <f>SUBTOTAL(103,$C$10:C50)</f>
        <v>32</v>
      </c>
      <c r="B50" s="36" t="str">
        <f t="shared" si="14"/>
        <v>BAN32</v>
      </c>
      <c r="C50" s="37" t="s">
        <v>58</v>
      </c>
      <c r="D50" s="38">
        <v>30</v>
      </c>
      <c r="E50" s="38">
        <v>15</v>
      </c>
      <c r="F50" s="35">
        <f t="shared" si="1"/>
        <v>45</v>
      </c>
      <c r="G50" s="35">
        <f t="shared" si="2"/>
        <v>90</v>
      </c>
      <c r="H50" s="35">
        <f t="shared" si="3"/>
        <v>135</v>
      </c>
      <c r="I50" s="35">
        <f t="shared" si="4"/>
        <v>3</v>
      </c>
      <c r="J50" s="35">
        <f t="shared" si="15"/>
        <v>4.5</v>
      </c>
      <c r="K50" s="24"/>
    </row>
    <row r="51" spans="1:11" s="25" customFormat="1" x14ac:dyDescent="0.25">
      <c r="A51" s="32" t="s">
        <v>26</v>
      </c>
      <c r="B51" s="33"/>
      <c r="C51" s="33"/>
      <c r="D51" s="33"/>
      <c r="E51" s="33"/>
      <c r="F51" s="33"/>
      <c r="G51" s="33"/>
      <c r="H51" s="33"/>
      <c r="I51" s="33"/>
      <c r="J51" s="34"/>
      <c r="K51" s="24"/>
    </row>
    <row r="52" spans="1:11" s="25" customFormat="1" x14ac:dyDescent="0.25">
      <c r="A52" s="35">
        <f>SUBTOTAL(103,$C$10:C52)</f>
        <v>33</v>
      </c>
      <c r="B52" s="36" t="str">
        <f t="shared" ref="B52:B53" si="16">CONCATENATE($L$1,A52)</f>
        <v>BAN33</v>
      </c>
      <c r="C52" s="37" t="s">
        <v>59</v>
      </c>
      <c r="D52" s="35">
        <v>0</v>
      </c>
      <c r="E52" s="35">
        <v>45</v>
      </c>
      <c r="F52" s="35">
        <f t="shared" si="1"/>
        <v>45</v>
      </c>
      <c r="G52" s="35">
        <f t="shared" si="2"/>
        <v>90</v>
      </c>
      <c r="H52" s="35">
        <f t="shared" si="3"/>
        <v>135</v>
      </c>
      <c r="I52" s="35">
        <f t="shared" si="4"/>
        <v>3</v>
      </c>
      <c r="J52" s="35">
        <f t="shared" si="15"/>
        <v>4.5</v>
      </c>
      <c r="K52" s="24"/>
    </row>
    <row r="53" spans="1:11" s="25" customFormat="1" x14ac:dyDescent="0.25">
      <c r="A53" s="35">
        <f>SUBTOTAL(103,$C$10:C53)</f>
        <v>34</v>
      </c>
      <c r="B53" s="36" t="str">
        <f t="shared" si="16"/>
        <v>BAN34</v>
      </c>
      <c r="C53" s="37" t="s">
        <v>60</v>
      </c>
      <c r="D53" s="35">
        <v>0</v>
      </c>
      <c r="E53" s="35">
        <v>45</v>
      </c>
      <c r="F53" s="35">
        <f t="shared" si="1"/>
        <v>45</v>
      </c>
      <c r="G53" s="35">
        <f t="shared" si="2"/>
        <v>90</v>
      </c>
      <c r="H53" s="35">
        <f t="shared" si="3"/>
        <v>135</v>
      </c>
      <c r="I53" s="35">
        <f t="shared" si="4"/>
        <v>3</v>
      </c>
      <c r="J53" s="35">
        <f t="shared" si="15"/>
        <v>4.5</v>
      </c>
      <c r="K53" s="24"/>
    </row>
    <row r="54" spans="1:11" s="25" customFormat="1" x14ac:dyDescent="0.25">
      <c r="A54" s="32" t="s">
        <v>61</v>
      </c>
      <c r="B54" s="33"/>
      <c r="C54" s="34"/>
      <c r="D54" s="39">
        <f>SUM(D45:D50)+D52</f>
        <v>180</v>
      </c>
      <c r="E54" s="39">
        <f t="shared" ref="E54:J54" si="17">SUM(E45:E50)+E52</f>
        <v>120</v>
      </c>
      <c r="F54" s="39">
        <f t="shared" si="17"/>
        <v>300</v>
      </c>
      <c r="G54" s="39">
        <f t="shared" si="17"/>
        <v>600</v>
      </c>
      <c r="H54" s="39">
        <f t="shared" si="17"/>
        <v>900</v>
      </c>
      <c r="I54" s="39">
        <f t="shared" si="17"/>
        <v>20</v>
      </c>
      <c r="J54" s="39">
        <f t="shared" si="17"/>
        <v>30</v>
      </c>
      <c r="K54" s="24"/>
    </row>
    <row r="55" spans="1:11" s="25" customFormat="1" x14ac:dyDescent="0.25">
      <c r="A55" s="29" t="s">
        <v>62</v>
      </c>
      <c r="B55" s="30"/>
      <c r="C55" s="30"/>
      <c r="D55" s="30"/>
      <c r="E55" s="30"/>
      <c r="F55" s="30"/>
      <c r="G55" s="30"/>
      <c r="H55" s="30"/>
      <c r="I55" s="30"/>
      <c r="J55" s="31"/>
      <c r="K55" s="24"/>
    </row>
    <row r="56" spans="1:11" s="25" customFormat="1" x14ac:dyDescent="0.25">
      <c r="A56" s="32" t="s">
        <v>63</v>
      </c>
      <c r="B56" s="33"/>
      <c r="C56" s="33"/>
      <c r="D56" s="33"/>
      <c r="E56" s="33"/>
      <c r="F56" s="33"/>
      <c r="G56" s="33"/>
      <c r="H56" s="33"/>
      <c r="I56" s="33"/>
      <c r="J56" s="34"/>
      <c r="K56" s="24"/>
    </row>
    <row r="57" spans="1:11" s="25" customFormat="1" x14ac:dyDescent="0.25">
      <c r="A57" s="35">
        <f>SUBTOTAL(103,$C$10:C57)</f>
        <v>35</v>
      </c>
      <c r="B57" s="36" t="str">
        <f t="shared" ref="B57:B62" si="18">CONCATENATE($L$1,A57)</f>
        <v>BAN35</v>
      </c>
      <c r="C57" s="37" t="s">
        <v>4</v>
      </c>
      <c r="D57" s="38">
        <v>45</v>
      </c>
      <c r="E57" s="38">
        <v>30</v>
      </c>
      <c r="F57" s="35">
        <f t="shared" si="1"/>
        <v>75</v>
      </c>
      <c r="G57" s="35">
        <f t="shared" si="2"/>
        <v>150</v>
      </c>
      <c r="H57" s="35">
        <f t="shared" si="3"/>
        <v>225</v>
      </c>
      <c r="I57" s="35">
        <f t="shared" si="4"/>
        <v>5</v>
      </c>
      <c r="J57" s="35">
        <f t="shared" ref="J57:J62" si="19">I57*1.5</f>
        <v>7.5</v>
      </c>
      <c r="K57" s="24"/>
    </row>
    <row r="58" spans="1:11" s="25" customFormat="1" x14ac:dyDescent="0.25">
      <c r="A58" s="35">
        <f>SUBTOTAL(103,$C$10:C58)</f>
        <v>36</v>
      </c>
      <c r="B58" s="36" t="str">
        <f t="shared" si="18"/>
        <v>BAN36</v>
      </c>
      <c r="C58" s="37" t="s">
        <v>64</v>
      </c>
      <c r="D58" s="38">
        <v>30</v>
      </c>
      <c r="E58" s="38">
        <v>30</v>
      </c>
      <c r="F58" s="35">
        <f t="shared" si="1"/>
        <v>60</v>
      </c>
      <c r="G58" s="35">
        <f t="shared" si="2"/>
        <v>120</v>
      </c>
      <c r="H58" s="35">
        <f t="shared" si="3"/>
        <v>180</v>
      </c>
      <c r="I58" s="35">
        <f t="shared" si="4"/>
        <v>4</v>
      </c>
      <c r="J58" s="35">
        <f t="shared" si="19"/>
        <v>6</v>
      </c>
      <c r="K58" s="24"/>
    </row>
    <row r="59" spans="1:11" s="25" customFormat="1" x14ac:dyDescent="0.25">
      <c r="A59" s="35">
        <f>SUBTOTAL(103,$C$10:C59)</f>
        <v>37</v>
      </c>
      <c r="B59" s="36" t="str">
        <f t="shared" si="18"/>
        <v>BAN37</v>
      </c>
      <c r="C59" s="37" t="s">
        <v>65</v>
      </c>
      <c r="D59" s="38">
        <v>30</v>
      </c>
      <c r="E59" s="38">
        <v>15</v>
      </c>
      <c r="F59" s="35">
        <f t="shared" si="1"/>
        <v>45</v>
      </c>
      <c r="G59" s="35">
        <f t="shared" si="2"/>
        <v>90</v>
      </c>
      <c r="H59" s="35">
        <f t="shared" si="3"/>
        <v>135</v>
      </c>
      <c r="I59" s="35">
        <f t="shared" si="4"/>
        <v>3</v>
      </c>
      <c r="J59" s="35">
        <f t="shared" si="19"/>
        <v>4.5</v>
      </c>
      <c r="K59" s="24"/>
    </row>
    <row r="60" spans="1:11" s="25" customFormat="1" x14ac:dyDescent="0.25">
      <c r="A60" s="35">
        <f>SUBTOTAL(103,$C$10:C60)</f>
        <v>38</v>
      </c>
      <c r="B60" s="36" t="str">
        <f t="shared" si="18"/>
        <v>BAN38</v>
      </c>
      <c r="C60" s="37" t="s">
        <v>66</v>
      </c>
      <c r="D60" s="38">
        <v>30</v>
      </c>
      <c r="E60" s="38">
        <v>15</v>
      </c>
      <c r="F60" s="35">
        <f t="shared" si="1"/>
        <v>45</v>
      </c>
      <c r="G60" s="35">
        <f t="shared" si="2"/>
        <v>90</v>
      </c>
      <c r="H60" s="35">
        <f t="shared" si="3"/>
        <v>135</v>
      </c>
      <c r="I60" s="35">
        <f t="shared" si="4"/>
        <v>3</v>
      </c>
      <c r="J60" s="35">
        <f t="shared" si="19"/>
        <v>4.5</v>
      </c>
      <c r="K60" s="24"/>
    </row>
    <row r="61" spans="1:11" s="25" customFormat="1" x14ac:dyDescent="0.2">
      <c r="A61" s="35">
        <f>SUBTOTAL(103,$C$10:C61)</f>
        <v>39</v>
      </c>
      <c r="B61" s="36" t="str">
        <f t="shared" si="18"/>
        <v>BAN39</v>
      </c>
      <c r="C61" s="37" t="s">
        <v>67</v>
      </c>
      <c r="D61" s="41">
        <v>15</v>
      </c>
      <c r="E61" s="41">
        <v>15</v>
      </c>
      <c r="F61" s="35">
        <f t="shared" si="1"/>
        <v>30</v>
      </c>
      <c r="G61" s="35">
        <f t="shared" si="2"/>
        <v>60</v>
      </c>
      <c r="H61" s="35">
        <f t="shared" si="3"/>
        <v>90</v>
      </c>
      <c r="I61" s="35">
        <f t="shared" si="4"/>
        <v>2</v>
      </c>
      <c r="J61" s="35">
        <f t="shared" si="19"/>
        <v>3</v>
      </c>
      <c r="K61" s="24"/>
    </row>
    <row r="62" spans="1:11" s="25" customFormat="1" x14ac:dyDescent="0.25">
      <c r="A62" s="35">
        <f>SUBTOTAL(103,$C$10:C62)</f>
        <v>40</v>
      </c>
      <c r="B62" s="36" t="str">
        <f t="shared" si="18"/>
        <v>BAN40</v>
      </c>
      <c r="C62" s="37" t="s">
        <v>68</v>
      </c>
      <c r="D62" s="38">
        <v>30</v>
      </c>
      <c r="E62" s="38">
        <v>0</v>
      </c>
      <c r="F62" s="35">
        <f t="shared" si="1"/>
        <v>30</v>
      </c>
      <c r="G62" s="35">
        <f t="shared" si="2"/>
        <v>60</v>
      </c>
      <c r="H62" s="35">
        <f t="shared" si="3"/>
        <v>90</v>
      </c>
      <c r="I62" s="35">
        <f t="shared" si="4"/>
        <v>2</v>
      </c>
      <c r="J62" s="35">
        <f t="shared" si="19"/>
        <v>3</v>
      </c>
      <c r="K62" s="24"/>
    </row>
    <row r="63" spans="1:11" s="25" customFormat="1" x14ac:dyDescent="0.25">
      <c r="A63" s="32" t="s">
        <v>26</v>
      </c>
      <c r="B63" s="33"/>
      <c r="C63" s="33"/>
      <c r="D63" s="33"/>
      <c r="E63" s="33"/>
      <c r="F63" s="33"/>
      <c r="G63" s="33"/>
      <c r="H63" s="33"/>
      <c r="I63" s="33"/>
      <c r="J63" s="34"/>
      <c r="K63" s="24"/>
    </row>
    <row r="64" spans="1:11" s="25" customFormat="1" x14ac:dyDescent="0.25">
      <c r="A64" s="35">
        <f>SUBTOTAL(103,$C$10:C64)</f>
        <v>41</v>
      </c>
      <c r="B64" s="36" t="str">
        <f t="shared" ref="B64:B65" si="20">CONCATENATE($L$1,A64)</f>
        <v>BAN41</v>
      </c>
      <c r="C64" s="37" t="s">
        <v>69</v>
      </c>
      <c r="D64" s="35">
        <v>0</v>
      </c>
      <c r="E64" s="35">
        <v>30</v>
      </c>
      <c r="F64" s="35">
        <f>D64+E64</f>
        <v>30</v>
      </c>
      <c r="G64" s="35">
        <f t="shared" si="2"/>
        <v>60</v>
      </c>
      <c r="H64" s="35">
        <f>F64+G64</f>
        <v>90</v>
      </c>
      <c r="I64" s="35">
        <f>F64/15</f>
        <v>2</v>
      </c>
      <c r="J64" s="35">
        <f t="shared" ref="J64:J65" si="21">I64*1.5</f>
        <v>3</v>
      </c>
      <c r="K64" s="24"/>
    </row>
    <row r="65" spans="1:11" s="25" customFormat="1" x14ac:dyDescent="0.25">
      <c r="A65" s="35">
        <f>SUBTOTAL(103,$C$10:C65)</f>
        <v>42</v>
      </c>
      <c r="B65" s="36" t="str">
        <f t="shared" si="20"/>
        <v>BAN42</v>
      </c>
      <c r="C65" s="37" t="s">
        <v>70</v>
      </c>
      <c r="D65" s="35">
        <v>0</v>
      </c>
      <c r="E65" s="35">
        <v>30</v>
      </c>
      <c r="F65" s="35">
        <f t="shared" ref="F65" si="22">D65+E65</f>
        <v>30</v>
      </c>
      <c r="G65" s="35">
        <f t="shared" si="2"/>
        <v>60</v>
      </c>
      <c r="H65" s="35">
        <f t="shared" ref="H65" si="23">F65+G65</f>
        <v>90</v>
      </c>
      <c r="I65" s="35">
        <f t="shared" ref="I65" si="24">F65/15</f>
        <v>2</v>
      </c>
      <c r="J65" s="35">
        <f t="shared" si="21"/>
        <v>3</v>
      </c>
      <c r="K65" s="24"/>
    </row>
    <row r="66" spans="1:11" s="25" customFormat="1" x14ac:dyDescent="0.25">
      <c r="A66" s="32" t="s">
        <v>71</v>
      </c>
      <c r="B66" s="33"/>
      <c r="C66" s="34"/>
      <c r="D66" s="39">
        <f>SUM(D57:D62)+D64</f>
        <v>180</v>
      </c>
      <c r="E66" s="39">
        <f t="shared" ref="E66:J66" si="25">SUM(E57:E62)+E64</f>
        <v>135</v>
      </c>
      <c r="F66" s="39">
        <f t="shared" si="25"/>
        <v>315</v>
      </c>
      <c r="G66" s="39">
        <f t="shared" si="25"/>
        <v>630</v>
      </c>
      <c r="H66" s="39">
        <f t="shared" si="25"/>
        <v>945</v>
      </c>
      <c r="I66" s="39">
        <f t="shared" si="25"/>
        <v>21</v>
      </c>
      <c r="J66" s="39">
        <f t="shared" si="25"/>
        <v>31.5</v>
      </c>
      <c r="K66" s="24"/>
    </row>
    <row r="67" spans="1:11" s="25" customFormat="1" x14ac:dyDescent="0.25">
      <c r="A67" s="26" t="s">
        <v>72</v>
      </c>
      <c r="B67" s="27"/>
      <c r="C67" s="27"/>
      <c r="D67" s="27"/>
      <c r="E67" s="27"/>
      <c r="F67" s="27"/>
      <c r="G67" s="27"/>
      <c r="H67" s="27"/>
      <c r="I67" s="27"/>
      <c r="J67" s="28"/>
      <c r="K67" s="24"/>
    </row>
    <row r="68" spans="1:11" s="25" customFormat="1" x14ac:dyDescent="0.25">
      <c r="A68" s="29" t="s">
        <v>73</v>
      </c>
      <c r="B68" s="30"/>
      <c r="C68" s="30"/>
      <c r="D68" s="30"/>
      <c r="E68" s="30"/>
      <c r="F68" s="30"/>
      <c r="G68" s="30"/>
      <c r="H68" s="30"/>
      <c r="I68" s="30"/>
      <c r="J68" s="31"/>
      <c r="K68" s="24"/>
    </row>
    <row r="69" spans="1:11" s="25" customFormat="1" x14ac:dyDescent="0.25">
      <c r="A69" s="32" t="s">
        <v>52</v>
      </c>
      <c r="B69" s="33"/>
      <c r="C69" s="33"/>
      <c r="D69" s="33"/>
      <c r="E69" s="33"/>
      <c r="F69" s="33"/>
      <c r="G69" s="33"/>
      <c r="H69" s="33"/>
      <c r="I69" s="33"/>
      <c r="J69" s="34"/>
      <c r="K69" s="24"/>
    </row>
    <row r="70" spans="1:11" s="25" customFormat="1" x14ac:dyDescent="0.25">
      <c r="A70" s="35">
        <f>SUBTOTAL(103,$C$10:C70)</f>
        <v>43</v>
      </c>
      <c r="B70" s="36" t="str">
        <f t="shared" ref="B70:B75" si="26">CONCATENATE($L$1,A70)</f>
        <v>BAN43</v>
      </c>
      <c r="C70" s="37" t="s">
        <v>74</v>
      </c>
      <c r="D70" s="38">
        <v>30</v>
      </c>
      <c r="E70" s="38">
        <v>15</v>
      </c>
      <c r="F70" s="35">
        <f t="shared" ref="F70:F75" si="27">D70+E70</f>
        <v>45</v>
      </c>
      <c r="G70" s="35">
        <f t="shared" si="2"/>
        <v>90</v>
      </c>
      <c r="H70" s="35">
        <f t="shared" si="3"/>
        <v>135</v>
      </c>
      <c r="I70" s="35">
        <f t="shared" si="4"/>
        <v>3</v>
      </c>
      <c r="J70" s="35">
        <f t="shared" ref="J70:J75" si="28">I70*1.5</f>
        <v>4.5</v>
      </c>
      <c r="K70" s="24"/>
    </row>
    <row r="71" spans="1:11" s="25" customFormat="1" x14ac:dyDescent="0.25">
      <c r="A71" s="35">
        <f>SUBTOTAL(103,$C$10:C71)</f>
        <v>44</v>
      </c>
      <c r="B71" s="36" t="str">
        <f t="shared" si="26"/>
        <v>BAN44</v>
      </c>
      <c r="C71" s="37" t="s">
        <v>75</v>
      </c>
      <c r="D71" s="38">
        <v>30</v>
      </c>
      <c r="E71" s="38">
        <v>15</v>
      </c>
      <c r="F71" s="35">
        <f t="shared" si="27"/>
        <v>45</v>
      </c>
      <c r="G71" s="35">
        <f t="shared" si="2"/>
        <v>90</v>
      </c>
      <c r="H71" s="35">
        <f t="shared" si="3"/>
        <v>135</v>
      </c>
      <c r="I71" s="35">
        <f t="shared" si="4"/>
        <v>3</v>
      </c>
      <c r="J71" s="35">
        <f t="shared" si="28"/>
        <v>4.5</v>
      </c>
      <c r="K71" s="24"/>
    </row>
    <row r="72" spans="1:11" s="25" customFormat="1" x14ac:dyDescent="0.25">
      <c r="A72" s="35">
        <f>SUBTOTAL(103,$C$10:C72)</f>
        <v>45</v>
      </c>
      <c r="B72" s="36" t="str">
        <f t="shared" si="26"/>
        <v>BAN45</v>
      </c>
      <c r="C72" s="37" t="s">
        <v>76</v>
      </c>
      <c r="D72" s="38">
        <v>30</v>
      </c>
      <c r="E72" s="38">
        <v>30</v>
      </c>
      <c r="F72" s="35">
        <f t="shared" si="27"/>
        <v>60</v>
      </c>
      <c r="G72" s="35">
        <f t="shared" si="2"/>
        <v>120</v>
      </c>
      <c r="H72" s="35">
        <f t="shared" si="3"/>
        <v>180</v>
      </c>
      <c r="I72" s="35">
        <f t="shared" si="4"/>
        <v>4</v>
      </c>
      <c r="J72" s="35">
        <f t="shared" si="28"/>
        <v>6</v>
      </c>
      <c r="K72" s="24"/>
    </row>
    <row r="73" spans="1:11" s="25" customFormat="1" x14ac:dyDescent="0.25">
      <c r="A73" s="35">
        <f>SUBTOTAL(103,$C$10:C73)</f>
        <v>46</v>
      </c>
      <c r="B73" s="36" t="str">
        <f t="shared" si="26"/>
        <v>BAN46</v>
      </c>
      <c r="C73" s="37" t="s">
        <v>77</v>
      </c>
      <c r="D73" s="38">
        <v>30</v>
      </c>
      <c r="E73" s="38">
        <v>15</v>
      </c>
      <c r="F73" s="35">
        <f t="shared" si="27"/>
        <v>45</v>
      </c>
      <c r="G73" s="35">
        <f t="shared" si="2"/>
        <v>90</v>
      </c>
      <c r="H73" s="35">
        <f t="shared" si="3"/>
        <v>135</v>
      </c>
      <c r="I73" s="35">
        <f t="shared" si="4"/>
        <v>3</v>
      </c>
      <c r="J73" s="35">
        <f t="shared" si="28"/>
        <v>4.5</v>
      </c>
      <c r="K73" s="24"/>
    </row>
    <row r="74" spans="1:11" s="25" customFormat="1" x14ac:dyDescent="0.25">
      <c r="A74" s="35">
        <f>SUBTOTAL(103,$C$10:C74)</f>
        <v>47</v>
      </c>
      <c r="B74" s="36" t="str">
        <f t="shared" si="26"/>
        <v>BAN47</v>
      </c>
      <c r="C74" s="37" t="s">
        <v>78</v>
      </c>
      <c r="D74" s="38">
        <v>30</v>
      </c>
      <c r="E74" s="38">
        <v>15</v>
      </c>
      <c r="F74" s="35">
        <f t="shared" si="27"/>
        <v>45</v>
      </c>
      <c r="G74" s="35">
        <f t="shared" si="2"/>
        <v>90</v>
      </c>
      <c r="H74" s="35">
        <f t="shared" si="3"/>
        <v>135</v>
      </c>
      <c r="I74" s="35">
        <f t="shared" si="4"/>
        <v>3</v>
      </c>
      <c r="J74" s="35">
        <f t="shared" si="28"/>
        <v>4.5</v>
      </c>
      <c r="K74" s="24"/>
    </row>
    <row r="75" spans="1:11" s="25" customFormat="1" x14ac:dyDescent="0.25">
      <c r="A75" s="35">
        <f>SUBTOTAL(103,$C$10:C75)</f>
        <v>48</v>
      </c>
      <c r="B75" s="36" t="str">
        <f t="shared" si="26"/>
        <v>BAN48</v>
      </c>
      <c r="C75" s="37" t="s">
        <v>79</v>
      </c>
      <c r="D75" s="38">
        <v>30</v>
      </c>
      <c r="E75" s="38">
        <v>15</v>
      </c>
      <c r="F75" s="35">
        <f t="shared" si="27"/>
        <v>45</v>
      </c>
      <c r="G75" s="35">
        <f t="shared" si="2"/>
        <v>90</v>
      </c>
      <c r="H75" s="35">
        <f t="shared" si="3"/>
        <v>135</v>
      </c>
      <c r="I75" s="35">
        <f t="shared" si="4"/>
        <v>3</v>
      </c>
      <c r="J75" s="35">
        <f t="shared" si="28"/>
        <v>4.5</v>
      </c>
      <c r="K75" s="24"/>
    </row>
    <row r="76" spans="1:11" s="42" customFormat="1" x14ac:dyDescent="0.25">
      <c r="A76" s="32" t="s">
        <v>26</v>
      </c>
      <c r="B76" s="33"/>
      <c r="C76" s="33"/>
      <c r="D76" s="33"/>
      <c r="E76" s="33"/>
      <c r="F76" s="33"/>
      <c r="G76" s="33"/>
      <c r="H76" s="33"/>
      <c r="I76" s="33"/>
      <c r="J76" s="34"/>
      <c r="K76" s="24"/>
    </row>
    <row r="77" spans="1:11" s="42" customFormat="1" x14ac:dyDescent="0.25">
      <c r="A77" s="35">
        <f>SUBTOTAL(103,$C$10:C77)</f>
        <v>49</v>
      </c>
      <c r="B77" s="36" t="str">
        <f t="shared" ref="B77:B78" si="29">CONCATENATE($L$1,A77)</f>
        <v>BAN49</v>
      </c>
      <c r="C77" s="37" t="s">
        <v>80</v>
      </c>
      <c r="D77" s="35">
        <v>30</v>
      </c>
      <c r="E77" s="38">
        <v>0</v>
      </c>
      <c r="F77" s="35">
        <f>D77+E77</f>
        <v>30</v>
      </c>
      <c r="G77" s="35">
        <f t="shared" si="2"/>
        <v>60</v>
      </c>
      <c r="H77" s="35">
        <f>F77+G77</f>
        <v>90</v>
      </c>
      <c r="I77" s="35">
        <f>F77/15</f>
        <v>2</v>
      </c>
      <c r="J77" s="35">
        <f t="shared" ref="J77:J78" si="30">I77*1.5</f>
        <v>3</v>
      </c>
      <c r="K77" s="24"/>
    </row>
    <row r="78" spans="1:11" s="42" customFormat="1" x14ac:dyDescent="0.25">
      <c r="A78" s="35">
        <f>SUBTOTAL(103,$C$10:C78)</f>
        <v>50</v>
      </c>
      <c r="B78" s="36" t="str">
        <f t="shared" si="29"/>
        <v>BAN50</v>
      </c>
      <c r="C78" s="37" t="s">
        <v>81</v>
      </c>
      <c r="D78" s="35">
        <v>30</v>
      </c>
      <c r="E78" s="38">
        <v>0</v>
      </c>
      <c r="F78" s="35">
        <f t="shared" ref="F78" si="31">D78+E78</f>
        <v>30</v>
      </c>
      <c r="G78" s="35">
        <f t="shared" si="2"/>
        <v>60</v>
      </c>
      <c r="H78" s="35">
        <f t="shared" ref="H78" si="32">F78+G78</f>
        <v>90</v>
      </c>
      <c r="I78" s="35">
        <f t="shared" ref="I78" si="33">F78/15</f>
        <v>2</v>
      </c>
      <c r="J78" s="35">
        <f t="shared" si="30"/>
        <v>3</v>
      </c>
      <c r="K78" s="24"/>
    </row>
    <row r="79" spans="1:11" s="42" customFormat="1" x14ac:dyDescent="0.25">
      <c r="A79" s="32" t="s">
        <v>82</v>
      </c>
      <c r="B79" s="33"/>
      <c r="C79" s="34"/>
      <c r="D79" s="39">
        <f>SUM(D70:D75)+D77</f>
        <v>210</v>
      </c>
      <c r="E79" s="39">
        <f t="shared" ref="E79:J79" si="34">SUM(E70:E75)+E77</f>
        <v>105</v>
      </c>
      <c r="F79" s="39">
        <f t="shared" si="34"/>
        <v>315</v>
      </c>
      <c r="G79" s="39">
        <f t="shared" si="34"/>
        <v>630</v>
      </c>
      <c r="H79" s="39">
        <f t="shared" si="34"/>
        <v>945</v>
      </c>
      <c r="I79" s="39">
        <f t="shared" si="34"/>
        <v>21</v>
      </c>
      <c r="J79" s="39">
        <f t="shared" si="34"/>
        <v>31.5</v>
      </c>
      <c r="K79" s="24"/>
    </row>
    <row r="80" spans="1:11" s="25" customFormat="1" x14ac:dyDescent="0.25">
      <c r="A80" s="29" t="s">
        <v>83</v>
      </c>
      <c r="B80" s="30"/>
      <c r="C80" s="30"/>
      <c r="D80" s="30"/>
      <c r="E80" s="30"/>
      <c r="F80" s="30"/>
      <c r="G80" s="30"/>
      <c r="H80" s="30"/>
      <c r="I80" s="30"/>
      <c r="J80" s="31"/>
      <c r="K80" s="24"/>
    </row>
    <row r="81" spans="1:11" s="25" customFormat="1" x14ac:dyDescent="0.25">
      <c r="A81" s="32" t="s">
        <v>63</v>
      </c>
      <c r="B81" s="33"/>
      <c r="C81" s="33"/>
      <c r="D81" s="33"/>
      <c r="E81" s="33"/>
      <c r="F81" s="33"/>
      <c r="G81" s="33"/>
      <c r="H81" s="33"/>
      <c r="I81" s="33"/>
      <c r="J81" s="34"/>
      <c r="K81" s="24"/>
    </row>
    <row r="82" spans="1:11" s="25" customFormat="1" x14ac:dyDescent="0.25">
      <c r="A82" s="35">
        <f>SUBTOTAL(103,$C$10:C82)</f>
        <v>51</v>
      </c>
      <c r="B82" s="36" t="str">
        <f t="shared" ref="B82:B86" si="35">CONCATENATE($L$1,A82)</f>
        <v>BAN51</v>
      </c>
      <c r="C82" s="37" t="s">
        <v>84</v>
      </c>
      <c r="D82" s="38">
        <v>45</v>
      </c>
      <c r="E82" s="38">
        <v>15</v>
      </c>
      <c r="F82" s="35">
        <f>D82+E82</f>
        <v>60</v>
      </c>
      <c r="G82" s="35">
        <f t="shared" si="2"/>
        <v>120</v>
      </c>
      <c r="H82" s="35">
        <f>F82+G82</f>
        <v>180</v>
      </c>
      <c r="I82" s="35">
        <f>F82/15</f>
        <v>4</v>
      </c>
      <c r="J82" s="35">
        <f>I82*1.5</f>
        <v>6</v>
      </c>
      <c r="K82" s="24"/>
    </row>
    <row r="83" spans="1:11" s="25" customFormat="1" x14ac:dyDescent="0.25">
      <c r="A83" s="35">
        <f>SUBTOTAL(103,$C$10:C83)</f>
        <v>52</v>
      </c>
      <c r="B83" s="36" t="str">
        <f t="shared" si="35"/>
        <v>BAN52</v>
      </c>
      <c r="C83" s="37" t="s">
        <v>85</v>
      </c>
      <c r="D83" s="38">
        <v>45</v>
      </c>
      <c r="E83" s="38">
        <v>15</v>
      </c>
      <c r="F83" s="35">
        <f>D83+E83</f>
        <v>60</v>
      </c>
      <c r="G83" s="35">
        <f t="shared" si="2"/>
        <v>120</v>
      </c>
      <c r="H83" s="35">
        <f>F83+G83</f>
        <v>180</v>
      </c>
      <c r="I83" s="35">
        <f>F83/15</f>
        <v>4</v>
      </c>
      <c r="J83" s="35">
        <f t="shared" ref="J83:J86" si="36">I83*1.5</f>
        <v>6</v>
      </c>
      <c r="K83" s="24"/>
    </row>
    <row r="84" spans="1:11" s="25" customFormat="1" x14ac:dyDescent="0.25">
      <c r="A84" s="35">
        <f>SUBTOTAL(103,$C$10:C84)</f>
        <v>53</v>
      </c>
      <c r="B84" s="36" t="str">
        <f t="shared" si="35"/>
        <v>BAN53</v>
      </c>
      <c r="C84" s="37" t="s">
        <v>86</v>
      </c>
      <c r="D84" s="38">
        <v>30</v>
      </c>
      <c r="E84" s="38">
        <v>15</v>
      </c>
      <c r="F84" s="35">
        <f>D84+E84</f>
        <v>45</v>
      </c>
      <c r="G84" s="35">
        <f t="shared" si="2"/>
        <v>90</v>
      </c>
      <c r="H84" s="35">
        <f>F84+G84</f>
        <v>135</v>
      </c>
      <c r="I84" s="35">
        <f>F84/15</f>
        <v>3</v>
      </c>
      <c r="J84" s="35">
        <f t="shared" si="36"/>
        <v>4.5</v>
      </c>
      <c r="K84" s="24"/>
    </row>
    <row r="85" spans="1:11" s="25" customFormat="1" x14ac:dyDescent="0.25">
      <c r="A85" s="35">
        <f>SUBTOTAL(103,$C$10:C85)</f>
        <v>54</v>
      </c>
      <c r="B85" s="36" t="str">
        <f t="shared" si="35"/>
        <v>BAN54</v>
      </c>
      <c r="C85" s="37" t="s">
        <v>87</v>
      </c>
      <c r="D85" s="38">
        <v>30</v>
      </c>
      <c r="E85" s="38">
        <v>15</v>
      </c>
      <c r="F85" s="35">
        <f t="shared" ref="F85:F86" si="37">D85+E85</f>
        <v>45</v>
      </c>
      <c r="G85" s="35">
        <f t="shared" si="2"/>
        <v>90</v>
      </c>
      <c r="H85" s="35">
        <f t="shared" ref="H85:H86" si="38">F85+G85</f>
        <v>135</v>
      </c>
      <c r="I85" s="35">
        <f t="shared" ref="I85:I86" si="39">F85/15</f>
        <v>3</v>
      </c>
      <c r="J85" s="35">
        <f t="shared" si="36"/>
        <v>4.5</v>
      </c>
      <c r="K85" s="24"/>
    </row>
    <row r="86" spans="1:11" s="25" customFormat="1" x14ac:dyDescent="0.25">
      <c r="A86" s="35">
        <f>SUBTOTAL(103,$C$10:C86)</f>
        <v>55</v>
      </c>
      <c r="B86" s="36" t="str">
        <f t="shared" si="35"/>
        <v>BAN55</v>
      </c>
      <c r="C86" s="37" t="s">
        <v>88</v>
      </c>
      <c r="D86" s="38">
        <v>30</v>
      </c>
      <c r="E86" s="38">
        <v>15</v>
      </c>
      <c r="F86" s="35">
        <f t="shared" si="37"/>
        <v>45</v>
      </c>
      <c r="G86" s="35">
        <f t="shared" si="2"/>
        <v>90</v>
      </c>
      <c r="H86" s="35">
        <f t="shared" si="38"/>
        <v>135</v>
      </c>
      <c r="I86" s="35">
        <f t="shared" si="39"/>
        <v>3</v>
      </c>
      <c r="J86" s="35">
        <f t="shared" si="36"/>
        <v>4.5</v>
      </c>
      <c r="K86" s="24"/>
    </row>
    <row r="87" spans="1:11" s="25" customFormat="1" x14ac:dyDescent="0.25">
      <c r="A87" s="32" t="s">
        <v>26</v>
      </c>
      <c r="B87" s="33"/>
      <c r="C87" s="33"/>
      <c r="D87" s="33"/>
      <c r="E87" s="33"/>
      <c r="F87" s="33"/>
      <c r="G87" s="33"/>
      <c r="H87" s="33"/>
      <c r="I87" s="33"/>
      <c r="J87" s="34"/>
      <c r="K87" s="24"/>
    </row>
    <row r="88" spans="1:11" s="25" customFormat="1" x14ac:dyDescent="0.25">
      <c r="A88" s="35">
        <f>SUBTOTAL(103,$C$10:C88)</f>
        <v>56</v>
      </c>
      <c r="B88" s="36" t="str">
        <f t="shared" ref="B88:B89" si="40">CONCATENATE($L$1,A88)</f>
        <v>BAN56</v>
      </c>
      <c r="C88" s="37" t="s">
        <v>89</v>
      </c>
      <c r="D88" s="35">
        <v>30</v>
      </c>
      <c r="E88" s="38">
        <v>15</v>
      </c>
      <c r="F88" s="35">
        <f>D88+E88</f>
        <v>45</v>
      </c>
      <c r="G88" s="35">
        <f t="shared" si="2"/>
        <v>90</v>
      </c>
      <c r="H88" s="35">
        <f>F88+G88</f>
        <v>135</v>
      </c>
      <c r="I88" s="35">
        <f>F88/15</f>
        <v>3</v>
      </c>
      <c r="J88" s="35">
        <f t="shared" ref="J88:J89" si="41">I88*1.5</f>
        <v>4.5</v>
      </c>
      <c r="K88" s="24"/>
    </row>
    <row r="89" spans="1:11" s="25" customFormat="1" x14ac:dyDescent="0.25">
      <c r="A89" s="35">
        <f>SUBTOTAL(103,$C$10:C89)</f>
        <v>57</v>
      </c>
      <c r="B89" s="36" t="str">
        <f t="shared" si="40"/>
        <v>BAN57</v>
      </c>
      <c r="C89" s="37" t="s">
        <v>90</v>
      </c>
      <c r="D89" s="35">
        <v>30</v>
      </c>
      <c r="E89" s="38">
        <v>15</v>
      </c>
      <c r="F89" s="35">
        <f t="shared" ref="F89" si="42">D89+E89</f>
        <v>45</v>
      </c>
      <c r="G89" s="35">
        <f t="shared" si="2"/>
        <v>90</v>
      </c>
      <c r="H89" s="35">
        <f t="shared" ref="H89" si="43">F89+G89</f>
        <v>135</v>
      </c>
      <c r="I89" s="35">
        <f t="shared" ref="I89" si="44">F89/15</f>
        <v>3</v>
      </c>
      <c r="J89" s="35">
        <f t="shared" si="41"/>
        <v>4.5</v>
      </c>
      <c r="K89" s="24"/>
    </row>
    <row r="90" spans="1:11" s="25" customFormat="1" x14ac:dyDescent="0.25">
      <c r="A90" s="32" t="s">
        <v>91</v>
      </c>
      <c r="B90" s="33"/>
      <c r="C90" s="34"/>
      <c r="D90" s="39">
        <f>SUM(D82:D86)+D88</f>
        <v>210</v>
      </c>
      <c r="E90" s="39">
        <f t="shared" ref="E90:J90" si="45">SUM(E82:E86)+E88</f>
        <v>90</v>
      </c>
      <c r="F90" s="39">
        <f t="shared" si="45"/>
        <v>300</v>
      </c>
      <c r="G90" s="39">
        <f t="shared" si="45"/>
        <v>600</v>
      </c>
      <c r="H90" s="39">
        <f t="shared" si="45"/>
        <v>900</v>
      </c>
      <c r="I90" s="39">
        <f t="shared" si="45"/>
        <v>20</v>
      </c>
      <c r="J90" s="39">
        <f t="shared" si="45"/>
        <v>30</v>
      </c>
      <c r="K90" s="24"/>
    </row>
    <row r="91" spans="1:11" s="25" customFormat="1" x14ac:dyDescent="0.25">
      <c r="A91" s="43" t="s">
        <v>92</v>
      </c>
      <c r="B91" s="44"/>
      <c r="C91" s="44"/>
      <c r="D91" s="44"/>
      <c r="E91" s="44"/>
      <c r="F91" s="44"/>
      <c r="G91" s="44"/>
      <c r="H91" s="44"/>
      <c r="I91" s="44"/>
      <c r="J91" s="45"/>
      <c r="K91" s="24"/>
    </row>
    <row r="92" spans="1:11" s="25" customFormat="1" x14ac:dyDescent="0.25">
      <c r="A92" s="35">
        <f>SUBTOTAL(103,$C$10:C92)</f>
        <v>58</v>
      </c>
      <c r="B92" s="36" t="str">
        <f>CONCATENATE($L$1,A92)</f>
        <v>BAN58</v>
      </c>
      <c r="C92" s="37" t="s">
        <v>93</v>
      </c>
      <c r="D92" s="38">
        <v>0</v>
      </c>
      <c r="E92" s="38">
        <v>60</v>
      </c>
      <c r="F92" s="35">
        <f>D92+E92</f>
        <v>60</v>
      </c>
      <c r="G92" s="38">
        <f t="shared" si="2"/>
        <v>120</v>
      </c>
      <c r="H92" s="35">
        <f>F92+G92</f>
        <v>180</v>
      </c>
      <c r="I92" s="38">
        <f>F92/15</f>
        <v>4</v>
      </c>
      <c r="J92" s="35">
        <f t="shared" ref="J92" si="46">I92*1.5</f>
        <v>6</v>
      </c>
      <c r="K92" s="24"/>
    </row>
    <row r="93" spans="1:11" s="25" customFormat="1" x14ac:dyDescent="0.25">
      <c r="A93" s="26" t="s">
        <v>94</v>
      </c>
      <c r="B93" s="27"/>
      <c r="C93" s="27"/>
      <c r="D93" s="27"/>
      <c r="E93" s="27"/>
      <c r="F93" s="27"/>
      <c r="G93" s="27"/>
      <c r="H93" s="27"/>
      <c r="I93" s="27"/>
      <c r="J93" s="28"/>
      <c r="K93" s="24"/>
    </row>
    <row r="94" spans="1:11" s="25" customFormat="1" x14ac:dyDescent="0.25">
      <c r="A94" s="29" t="s">
        <v>95</v>
      </c>
      <c r="B94" s="30"/>
      <c r="C94" s="30"/>
      <c r="D94" s="30"/>
      <c r="E94" s="30"/>
      <c r="F94" s="30"/>
      <c r="G94" s="30"/>
      <c r="H94" s="30"/>
      <c r="I94" s="30"/>
      <c r="J94" s="31"/>
      <c r="K94" s="24"/>
    </row>
    <row r="95" spans="1:11" s="25" customFormat="1" x14ac:dyDescent="0.25">
      <c r="A95" s="32" t="s">
        <v>52</v>
      </c>
      <c r="B95" s="33"/>
      <c r="C95" s="33"/>
      <c r="D95" s="33"/>
      <c r="E95" s="33"/>
      <c r="F95" s="33"/>
      <c r="G95" s="33"/>
      <c r="H95" s="33"/>
      <c r="I95" s="33"/>
      <c r="J95" s="34"/>
      <c r="K95" s="24"/>
    </row>
    <row r="96" spans="1:11" s="25" customFormat="1" x14ac:dyDescent="0.25">
      <c r="A96" s="35">
        <f>SUBTOTAL(103,$C$10:C96)</f>
        <v>59</v>
      </c>
      <c r="B96" s="36" t="str">
        <f t="shared" ref="B96:B100" si="47">CONCATENATE($L$1,A96)</f>
        <v>BAN59</v>
      </c>
      <c r="C96" s="37" t="s">
        <v>96</v>
      </c>
      <c r="D96" s="38">
        <v>30</v>
      </c>
      <c r="E96" s="38">
        <v>15</v>
      </c>
      <c r="F96" s="35">
        <f t="shared" ref="F96:F100" si="48">D96+E96</f>
        <v>45</v>
      </c>
      <c r="G96" s="35">
        <f t="shared" ref="G96:G103" si="49">F96*2</f>
        <v>90</v>
      </c>
      <c r="H96" s="35">
        <f t="shared" ref="H96:H100" si="50">F96+G96</f>
        <v>135</v>
      </c>
      <c r="I96" s="35">
        <f t="shared" ref="I96:I100" si="51">F96/15</f>
        <v>3</v>
      </c>
      <c r="J96" s="35">
        <f t="shared" ref="J96:J100" si="52">I96*1.5</f>
        <v>4.5</v>
      </c>
      <c r="K96" s="24"/>
    </row>
    <row r="97" spans="1:11" s="25" customFormat="1" x14ac:dyDescent="0.25">
      <c r="A97" s="35">
        <f>SUBTOTAL(103,$C$10:C97)</f>
        <v>60</v>
      </c>
      <c r="B97" s="36" t="str">
        <f t="shared" si="47"/>
        <v>BAN60</v>
      </c>
      <c r="C97" s="37" t="s">
        <v>97</v>
      </c>
      <c r="D97" s="38">
        <v>45</v>
      </c>
      <c r="E97" s="38">
        <v>15</v>
      </c>
      <c r="F97" s="35">
        <f t="shared" si="48"/>
        <v>60</v>
      </c>
      <c r="G97" s="35">
        <f t="shared" si="49"/>
        <v>120</v>
      </c>
      <c r="H97" s="35">
        <f t="shared" si="50"/>
        <v>180</v>
      </c>
      <c r="I97" s="35">
        <f t="shared" si="51"/>
        <v>4</v>
      </c>
      <c r="J97" s="35">
        <f t="shared" si="52"/>
        <v>6</v>
      </c>
      <c r="K97" s="24"/>
    </row>
    <row r="98" spans="1:11" s="25" customFormat="1" x14ac:dyDescent="0.25">
      <c r="A98" s="35">
        <f>SUBTOTAL(103,$C$10:C98)</f>
        <v>61</v>
      </c>
      <c r="B98" s="36" t="str">
        <f t="shared" si="47"/>
        <v>BAN61</v>
      </c>
      <c r="C98" s="37" t="s">
        <v>98</v>
      </c>
      <c r="D98" s="38">
        <v>45</v>
      </c>
      <c r="E98" s="38">
        <v>15</v>
      </c>
      <c r="F98" s="35">
        <f t="shared" si="48"/>
        <v>60</v>
      </c>
      <c r="G98" s="35">
        <f t="shared" si="49"/>
        <v>120</v>
      </c>
      <c r="H98" s="35">
        <f t="shared" si="50"/>
        <v>180</v>
      </c>
      <c r="I98" s="35">
        <f t="shared" si="51"/>
        <v>4</v>
      </c>
      <c r="J98" s="35">
        <f t="shared" si="52"/>
        <v>6</v>
      </c>
      <c r="K98" s="24"/>
    </row>
    <row r="99" spans="1:11" s="25" customFormat="1" x14ac:dyDescent="0.25">
      <c r="A99" s="35">
        <f>SUBTOTAL(103,$C$10:C99)</f>
        <v>62</v>
      </c>
      <c r="B99" s="36" t="str">
        <f t="shared" si="47"/>
        <v>BAN62</v>
      </c>
      <c r="C99" s="37" t="s">
        <v>99</v>
      </c>
      <c r="D99" s="38">
        <v>30</v>
      </c>
      <c r="E99" s="38">
        <v>15</v>
      </c>
      <c r="F99" s="35">
        <f t="shared" si="48"/>
        <v>45</v>
      </c>
      <c r="G99" s="35">
        <f t="shared" si="49"/>
        <v>90</v>
      </c>
      <c r="H99" s="35">
        <f t="shared" si="50"/>
        <v>135</v>
      </c>
      <c r="I99" s="35">
        <f t="shared" si="51"/>
        <v>3</v>
      </c>
      <c r="J99" s="35">
        <f t="shared" si="52"/>
        <v>4.5</v>
      </c>
      <c r="K99" s="24"/>
    </row>
    <row r="100" spans="1:11" s="25" customFormat="1" x14ac:dyDescent="0.25">
      <c r="A100" s="35">
        <f>SUBTOTAL(103,$C$10:C100)</f>
        <v>63</v>
      </c>
      <c r="B100" s="36" t="str">
        <f t="shared" si="47"/>
        <v>BAN63</v>
      </c>
      <c r="C100" s="37" t="s">
        <v>100</v>
      </c>
      <c r="D100" s="38">
        <v>45</v>
      </c>
      <c r="E100" s="38">
        <v>15</v>
      </c>
      <c r="F100" s="35">
        <f t="shared" si="48"/>
        <v>60</v>
      </c>
      <c r="G100" s="35">
        <f t="shared" si="49"/>
        <v>120</v>
      </c>
      <c r="H100" s="35">
        <f t="shared" si="50"/>
        <v>180</v>
      </c>
      <c r="I100" s="35">
        <f t="shared" si="51"/>
        <v>4</v>
      </c>
      <c r="J100" s="35">
        <f t="shared" si="52"/>
        <v>6</v>
      </c>
      <c r="K100" s="24"/>
    </row>
    <row r="101" spans="1:11" s="25" customFormat="1" x14ac:dyDescent="0.25">
      <c r="A101" s="32" t="s">
        <v>26</v>
      </c>
      <c r="B101" s="33"/>
      <c r="C101" s="33"/>
      <c r="D101" s="33"/>
      <c r="E101" s="33"/>
      <c r="F101" s="33"/>
      <c r="G101" s="33"/>
      <c r="H101" s="33"/>
      <c r="I101" s="33"/>
      <c r="J101" s="34"/>
      <c r="K101" s="24"/>
    </row>
    <row r="102" spans="1:11" s="25" customFormat="1" x14ac:dyDescent="0.25">
      <c r="A102" s="35">
        <f>SUBTOTAL(103,$C$10:C102)</f>
        <v>64</v>
      </c>
      <c r="B102" s="36" t="str">
        <f t="shared" ref="B102:B103" si="53">CONCATENATE($L$1,A102)</f>
        <v>BAN64</v>
      </c>
      <c r="C102" s="37" t="s">
        <v>101</v>
      </c>
      <c r="D102" s="35">
        <v>30</v>
      </c>
      <c r="E102" s="38">
        <v>15</v>
      </c>
      <c r="F102" s="35">
        <f>D102+E102</f>
        <v>45</v>
      </c>
      <c r="G102" s="35">
        <f t="shared" si="49"/>
        <v>90</v>
      </c>
      <c r="H102" s="35">
        <f>F102+G102</f>
        <v>135</v>
      </c>
      <c r="I102" s="35">
        <f>F102/15</f>
        <v>3</v>
      </c>
      <c r="J102" s="35">
        <f t="shared" ref="J102:J103" si="54">I102*1.5</f>
        <v>4.5</v>
      </c>
      <c r="K102" s="24"/>
    </row>
    <row r="103" spans="1:11" s="25" customFormat="1" x14ac:dyDescent="0.25">
      <c r="A103" s="35">
        <f>SUBTOTAL(103,$C$10:C103)</f>
        <v>65</v>
      </c>
      <c r="B103" s="36" t="str">
        <f t="shared" si="53"/>
        <v>BAN65</v>
      </c>
      <c r="C103" s="37" t="s">
        <v>102</v>
      </c>
      <c r="D103" s="35">
        <v>30</v>
      </c>
      <c r="E103" s="38">
        <v>15</v>
      </c>
      <c r="F103" s="35">
        <f t="shared" ref="F103" si="55">D103+E103</f>
        <v>45</v>
      </c>
      <c r="G103" s="35">
        <f t="shared" si="49"/>
        <v>90</v>
      </c>
      <c r="H103" s="35">
        <f t="shared" ref="H103" si="56">F103+G103</f>
        <v>135</v>
      </c>
      <c r="I103" s="35">
        <f t="shared" ref="I103" si="57">F103/15</f>
        <v>3</v>
      </c>
      <c r="J103" s="35">
        <f t="shared" si="54"/>
        <v>4.5</v>
      </c>
      <c r="K103" s="24"/>
    </row>
    <row r="104" spans="1:11" s="25" customFormat="1" x14ac:dyDescent="0.25">
      <c r="A104" s="32" t="s">
        <v>103</v>
      </c>
      <c r="B104" s="33"/>
      <c r="C104" s="34"/>
      <c r="D104" s="39">
        <f>SUM(D96:D100)+D102</f>
        <v>225</v>
      </c>
      <c r="E104" s="39">
        <f t="shared" ref="E104:J104" si="58">SUM(E96:E100)+E102</f>
        <v>90</v>
      </c>
      <c r="F104" s="39">
        <f t="shared" si="58"/>
        <v>315</v>
      </c>
      <c r="G104" s="39">
        <f t="shared" si="58"/>
        <v>630</v>
      </c>
      <c r="H104" s="39">
        <f t="shared" si="58"/>
        <v>945</v>
      </c>
      <c r="I104" s="39">
        <f t="shared" si="58"/>
        <v>21</v>
      </c>
      <c r="J104" s="39">
        <f t="shared" si="58"/>
        <v>31.5</v>
      </c>
      <c r="K104" s="24"/>
    </row>
    <row r="105" spans="1:11" s="25" customFormat="1" x14ac:dyDescent="0.25">
      <c r="A105" s="29" t="s">
        <v>104</v>
      </c>
      <c r="B105" s="30"/>
      <c r="C105" s="30"/>
      <c r="D105" s="30"/>
      <c r="E105" s="30"/>
      <c r="F105" s="30"/>
      <c r="G105" s="30"/>
      <c r="H105" s="30"/>
      <c r="I105" s="30"/>
      <c r="J105" s="31"/>
      <c r="K105" s="24"/>
    </row>
    <row r="106" spans="1:11" s="25" customFormat="1" x14ac:dyDescent="0.25">
      <c r="A106" s="32" t="s">
        <v>63</v>
      </c>
      <c r="B106" s="33"/>
      <c r="C106" s="33"/>
      <c r="D106" s="33"/>
      <c r="E106" s="33"/>
      <c r="F106" s="33"/>
      <c r="G106" s="33"/>
      <c r="H106" s="33"/>
      <c r="I106" s="33"/>
      <c r="J106" s="34"/>
      <c r="K106" s="24"/>
    </row>
    <row r="107" spans="1:11" s="47" customFormat="1" x14ac:dyDescent="0.25">
      <c r="A107" s="35">
        <f>SUBTOTAL(103,$C$10:C107)</f>
        <v>66</v>
      </c>
      <c r="B107" s="36" t="str">
        <f t="shared" ref="B107:B108" si="59">CONCATENATE($L$1,A107)</f>
        <v>BAN66</v>
      </c>
      <c r="C107" s="37" t="s">
        <v>105</v>
      </c>
      <c r="D107" s="46">
        <v>0</v>
      </c>
      <c r="E107" s="46">
        <v>240</v>
      </c>
      <c r="F107" s="35">
        <f>D107+E107</f>
        <v>240</v>
      </c>
      <c r="G107" s="38">
        <f>F107*2</f>
        <v>480</v>
      </c>
      <c r="H107" s="35">
        <f>F107+G107</f>
        <v>720</v>
      </c>
      <c r="I107" s="38">
        <f>F107/15</f>
        <v>16</v>
      </c>
      <c r="J107" s="35">
        <f>I107*1.5</f>
        <v>24</v>
      </c>
      <c r="K107" s="24"/>
    </row>
    <row r="108" spans="1:11" s="47" customFormat="1" ht="25.5" x14ac:dyDescent="0.25">
      <c r="A108" s="35">
        <f>SUBTOTAL(103,$C$10:C108)</f>
        <v>67</v>
      </c>
      <c r="B108" s="36" t="str">
        <f t="shared" si="59"/>
        <v>BAN67</v>
      </c>
      <c r="C108" s="37" t="s">
        <v>106</v>
      </c>
      <c r="D108" s="46">
        <v>60</v>
      </c>
      <c r="E108" s="46">
        <v>0</v>
      </c>
      <c r="F108" s="35">
        <f>D108+E108</f>
        <v>60</v>
      </c>
      <c r="G108" s="38">
        <f>F108*2</f>
        <v>120</v>
      </c>
      <c r="H108" s="35">
        <f>F108+G108</f>
        <v>180</v>
      </c>
      <c r="I108" s="38">
        <f>F108/15</f>
        <v>4</v>
      </c>
      <c r="J108" s="35">
        <f>I108*1.5</f>
        <v>6</v>
      </c>
      <c r="K108" s="48"/>
    </row>
    <row r="109" spans="1:11" s="25" customFormat="1" x14ac:dyDescent="0.25">
      <c r="A109" s="32" t="s">
        <v>107</v>
      </c>
      <c r="B109" s="33"/>
      <c r="C109" s="34"/>
      <c r="D109" s="39">
        <f>SUM(D107:D108)</f>
        <v>60</v>
      </c>
      <c r="E109" s="39">
        <f t="shared" ref="E109:J109" si="60">SUM(E107:E108)</f>
        <v>240</v>
      </c>
      <c r="F109" s="39">
        <f t="shared" si="60"/>
        <v>300</v>
      </c>
      <c r="G109" s="39">
        <f t="shared" si="60"/>
        <v>600</v>
      </c>
      <c r="H109" s="39">
        <f t="shared" si="60"/>
        <v>900</v>
      </c>
      <c r="I109" s="39">
        <f t="shared" si="60"/>
        <v>20</v>
      </c>
      <c r="J109" s="39">
        <f t="shared" si="60"/>
        <v>30</v>
      </c>
      <c r="K109" s="24"/>
    </row>
    <row r="110" spans="1:11" s="25" customFormat="1" x14ac:dyDescent="0.25">
      <c r="A110" s="49" t="s">
        <v>108</v>
      </c>
      <c r="B110" s="50"/>
      <c r="C110" s="51"/>
      <c r="D110" s="52">
        <f>D24+D41+D54+D66+D79+D90+D104+D109</f>
        <v>1260</v>
      </c>
      <c r="E110" s="52">
        <f t="shared" ref="E110:J110" si="61">E24+E41+E54+E66+E79+E90+E104+E109</f>
        <v>1200</v>
      </c>
      <c r="F110" s="52">
        <f t="shared" si="61"/>
        <v>2460</v>
      </c>
      <c r="G110" s="52">
        <f t="shared" si="61"/>
        <v>4920</v>
      </c>
      <c r="H110" s="52">
        <f t="shared" si="61"/>
        <v>7380</v>
      </c>
      <c r="I110" s="52">
        <f t="shared" si="61"/>
        <v>164</v>
      </c>
      <c r="J110" s="52">
        <f t="shared" si="61"/>
        <v>246</v>
      </c>
      <c r="K110" s="24"/>
    </row>
    <row r="111" spans="1:11" s="25" customFormat="1" x14ac:dyDescent="0.25">
      <c r="A111" s="53" t="s">
        <v>109</v>
      </c>
      <c r="B111" s="50"/>
      <c r="C111" s="51"/>
      <c r="D111" s="52">
        <f>D110+D92</f>
        <v>1260</v>
      </c>
      <c r="E111" s="52">
        <f t="shared" ref="E111:J111" si="62">E110+E92</f>
        <v>1260</v>
      </c>
      <c r="F111" s="52">
        <f t="shared" si="62"/>
        <v>2520</v>
      </c>
      <c r="G111" s="52">
        <f t="shared" si="62"/>
        <v>5040</v>
      </c>
      <c r="H111" s="52">
        <f t="shared" si="62"/>
        <v>7560</v>
      </c>
      <c r="I111" s="52">
        <f t="shared" si="62"/>
        <v>168</v>
      </c>
      <c r="J111" s="52">
        <f t="shared" si="62"/>
        <v>252</v>
      </c>
      <c r="K111" s="24"/>
    </row>
    <row r="112" spans="1:11" x14ac:dyDescent="0.25">
      <c r="A112" s="24" t="s">
        <v>110</v>
      </c>
      <c r="B112" s="24"/>
      <c r="C112" s="54"/>
      <c r="D112" s="55"/>
      <c r="E112" s="55"/>
      <c r="F112" s="55"/>
      <c r="G112" s="55"/>
      <c r="H112" s="55"/>
      <c r="I112" s="55"/>
      <c r="J112" s="55"/>
    </row>
    <row r="113" spans="1:10" x14ac:dyDescent="0.25">
      <c r="A113" s="55"/>
      <c r="B113" s="24"/>
      <c r="C113" s="54"/>
      <c r="D113" s="55"/>
      <c r="E113" s="55"/>
      <c r="F113" s="55"/>
      <c r="G113" s="55"/>
      <c r="H113" s="55"/>
      <c r="I113" s="55"/>
      <c r="J113" s="55"/>
    </row>
    <row r="114" spans="1:10" x14ac:dyDescent="0.25">
      <c r="B114" s="57" t="s">
        <v>111</v>
      </c>
      <c r="F114" s="20"/>
      <c r="H114" s="57" t="s">
        <v>112</v>
      </c>
    </row>
    <row r="116" spans="1:10" x14ac:dyDescent="0.25">
      <c r="B116" s="57" t="s">
        <v>113</v>
      </c>
      <c r="H116" s="57" t="s">
        <v>114</v>
      </c>
    </row>
    <row r="118" spans="1:10" x14ac:dyDescent="0.25">
      <c r="B118" s="57" t="s">
        <v>115</v>
      </c>
      <c r="H118" s="57" t="str">
        <f>_xlfn.XLOOKUP(L1,[1]notes!B:B,[1]notes!C:C)</f>
        <v>A.Vosikov</v>
      </c>
    </row>
    <row r="120" spans="1:10" x14ac:dyDescent="0.25">
      <c r="B120" s="57" t="str">
        <f>_xlfn.XLOOKUP(L1,[1]notes!B:B,[1]notes!D:D)</f>
        <v>Head of "Banking &amp; Accounting" department</v>
      </c>
      <c r="H120" s="57" t="str">
        <f>_xlfn.XLOOKUP(L1,[1]notes!B:B,[1]notes!E:E)</f>
        <v>F.Dodiev</v>
      </c>
    </row>
  </sheetData>
  <mergeCells count="7">
    <mergeCell ref="J5:J6"/>
    <mergeCell ref="A5:A6"/>
    <mergeCell ref="B5:B6"/>
    <mergeCell ref="C5:C6"/>
    <mergeCell ref="G5:G6"/>
    <mergeCell ref="H5:H6"/>
    <mergeCell ref="I5:I6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4" fitToHeight="2" orientation="portrait" r:id="rId1"/>
  <rowBreaks count="1" manualBreakCount="1">
    <brk id="6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BAN</vt:lpstr>
      <vt:lpstr>BAN!Заголовки_для_печати</vt:lpstr>
      <vt:lpstr>BAN!Область_печати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Farrukh Sulaymonov</dc:creator>
  <cp:lastModifiedBy>Farrukh Sulaymonov</cp:lastModifiedBy>
  <cp:lastPrinted>2026-01-19T09:22:42Z</cp:lastPrinted>
  <dcterms:created xsi:type="dcterms:W3CDTF">2026-01-19T09:22:32Z</dcterms:created>
  <dcterms:modified xsi:type="dcterms:W3CDTF">2026-01-19T09:24:36Z</dcterms:modified>
</cp:coreProperties>
</file>